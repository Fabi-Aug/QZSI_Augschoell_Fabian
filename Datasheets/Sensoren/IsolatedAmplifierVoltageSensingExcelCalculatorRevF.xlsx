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showInkAnnotation="0" codeName="ThisWorkbook" defaultThemeVersion="124226"/>
  <xr:revisionPtr revIDLastSave="0" documentId="13_ncr:1_{C2F6E378-A248-4341-AC99-73DD87CAC290}" xr6:coauthVersionLast="47" xr6:coauthVersionMax="47" xr10:uidLastSave="{00000000-0000-0000-0000-000000000000}"/>
  <workbookProtection workbookAlgorithmName="SHA-512" workbookHashValue="Tm15lMQvlAUa9qbcsnx4gk3X6hvtEkzmCl5j7tl0ORpfyWzL2n/Ymis67dgSJNfB7ljoHB4etriZeCLH2MJzcg==" workbookSaltValue="wkci2lRcP3E6fxAOAAHO2w==" workbookSpinCount="100000" lockStructure="1"/>
  <bookViews>
    <workbookView xWindow="-98" yWindow="-98" windowWidth="19396" windowHeight="12196" tabRatio="599" activeTab="3" xr2:uid="{00000000-000D-0000-FFFF-FFFF00000000}"/>
  </bookViews>
  <sheets>
    <sheet name="Table of Contents" sheetId="14" r:id="rId1"/>
    <sheet name="Help" sheetId="16" r:id="rId2"/>
    <sheet name="Directions" sheetId="24" r:id="rId3"/>
    <sheet name="Voltage Sensing Calculator" sheetId="22" r:id="rId4"/>
    <sheet name="Device Comparison" sheetId="21" r:id="rId5"/>
    <sheet name="License" sheetId="23" r:id="rId6"/>
  </sheets>
  <externalReferences>
    <externalReference r:id="rId7"/>
    <externalReference r:id="rId8"/>
    <externalReference r:id="rId9"/>
  </externalReferences>
  <definedNames>
    <definedName name="Configs">Config[Configuration]</definedName>
    <definedName name="DECIMATION_RATIO">[1]Calculator!$R$82</definedName>
    <definedName name="Device_List">Devices[Part]</definedName>
    <definedName name="Device_List_D">'Device Comparison'!$AH$7:$AH$80</definedName>
    <definedName name="Device_List_N">INDEX(Devices[], 1, COLUMN(#REF!)) : INDEX(Devices[], COUNTA(#REF!)-COUNTBLANK(#REF!), COLUMN(#REF!))</definedName>
    <definedName name="Device_List_SE">'Device Comparison'!$AJ$7:$AJ$71</definedName>
    <definedName name="DropDownList">IF('Voltage Sensing Calculator'!A1048576="Single-Ended",'Device Comparison'!$AJ$8:$AJ$28,IF(OR('Voltage Sensing Calculator'!A1048576="Differential without R3'",'Voltage Sensing Calculator'!A1048576="Differential with R3'"),'Device Comparison'!$AH$8:$AH$68,IF('Voltage Sensing Calculator'!A1048576="Integrated Resistor Divider",'Device Comparison'!Y1:Y10,'Device Comparison'!$AK$7)))</definedName>
    <definedName name="FILTER_ORDER">[1]Calculator!$R$83</definedName>
    <definedName name="FIR_BYPASSED" localSheetId="5">'[2]Digital Filter'!$T$84</definedName>
    <definedName name="FIR_BYPASSED">'[3]Digital Filter'!$T$84</definedName>
    <definedName name="FS_IN">[1]Calculator!$Q$101</definedName>
    <definedName name="FS_OUT">[1]Calculator!$T$101</definedName>
    <definedName name="GAIN">[1]Calculator!$R$91</definedName>
    <definedName name="GAIN2">[1]Calculator!$R$93</definedName>
    <definedName name="GAIN3">[1]Calculator!$R$94</definedName>
    <definedName name="inputType">Inputs[Input Type]</definedName>
    <definedName name="InputTypeColumn">Devices[Input Type]</definedName>
    <definedName name="IntRdiv">'Device Comparison'!$CE$306</definedName>
    <definedName name="M">[1]Calculator!$R$81</definedName>
    <definedName name="MOD_FREQ">[1]Calculator!$D$8</definedName>
    <definedName name="NORMALIZE">[1]Calculator!$R$92</definedName>
    <definedName name="OSR">[1]Calculator!$D$9</definedName>
    <definedName name="P_DECIMATION_RATIO">[1]Calculator!$U$82</definedName>
    <definedName name="P_FS_OUT">[1]Calculator!$BK$101</definedName>
    <definedName name="P_GAIN">[1]Calculator!$U$91</definedName>
    <definedName name="P_GAIN2">[1]Calculator!$U$93</definedName>
    <definedName name="P_GAIN3">[1]Calculator!$U$94</definedName>
    <definedName name="P_OSR">[1]Calculator!$D$11</definedName>
    <definedName name="Picture">INDIRECT('Voltage Sensing Calculator'!$B$6)</definedName>
    <definedName name="selectConfig">'Device Comparison'!$CE$303</definedName>
    <definedName name="single">'Device Comparison'!$CE$307</definedName>
    <definedName name="Temp_Range">IF((25-'Voltage Sensing Calculator'!$K$15)&gt;('Voltage Sensing Calculator'!$K$16-25),(25-'Voltage Sensing Calculator'!$K$15),('Voltage Sensing Calculator'!$K$16-25))</definedName>
    <definedName name="withoutR3">'Device Comparison'!$CE$304</definedName>
    <definedName name="withR3">'Device Comparison'!$CE$305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2" l="1"/>
  <c r="Y86" i="21"/>
  <c r="Z86" i="21"/>
  <c r="AA86" i="21"/>
  <c r="AB86" i="21"/>
  <c r="AC86" i="21"/>
  <c r="Y87" i="21"/>
  <c r="Z87" i="21"/>
  <c r="AA87" i="21"/>
  <c r="AB87" i="21"/>
  <c r="AC87" i="21"/>
  <c r="N10" i="22"/>
  <c r="N9" i="22"/>
  <c r="BW58" i="22"/>
  <c r="N67" i="22" l="1"/>
  <c r="N66" i="22"/>
  <c r="J50" i="22"/>
  <c r="N37" i="22"/>
  <c r="N35" i="22"/>
  <c r="N7" i="22"/>
  <c r="Y92" i="21"/>
  <c r="Z92" i="21"/>
  <c r="AA92" i="21"/>
  <c r="AB92" i="21"/>
  <c r="AC92" i="21"/>
  <c r="Y93" i="21"/>
  <c r="AA93" i="21" s="1"/>
  <c r="Z93" i="21"/>
  <c r="AB93" i="21"/>
  <c r="AC93" i="21"/>
  <c r="Y94" i="21"/>
  <c r="AC94" i="21" s="1"/>
  <c r="Z94" i="21"/>
  <c r="AB94" i="21"/>
  <c r="AA94" i="21" l="1"/>
  <c r="AB9" i="21"/>
  <c r="AA8" i="21"/>
  <c r="AA9" i="21"/>
  <c r="AA10" i="21"/>
  <c r="AA11" i="21"/>
  <c r="AA12" i="21"/>
  <c r="AA13" i="21"/>
  <c r="AA14" i="21"/>
  <c r="AA15" i="21"/>
  <c r="AA16" i="21"/>
  <c r="AA17" i="21"/>
  <c r="AA18" i="21"/>
  <c r="AA19" i="21"/>
  <c r="AA20" i="21"/>
  <c r="AA21" i="21"/>
  <c r="AA22" i="21"/>
  <c r="AA23" i="21"/>
  <c r="AA24" i="21"/>
  <c r="AA25" i="21"/>
  <c r="AA26" i="21"/>
  <c r="AA27" i="21"/>
  <c r="AA28" i="21"/>
  <c r="AA29" i="21"/>
  <c r="AA30" i="21"/>
  <c r="AA31" i="21"/>
  <c r="AA32" i="21"/>
  <c r="AA33" i="21"/>
  <c r="AA34" i="21"/>
  <c r="AA35" i="21"/>
  <c r="AA36" i="21"/>
  <c r="AA37" i="21"/>
  <c r="AA38" i="21"/>
  <c r="AA39" i="21"/>
  <c r="AA40" i="21"/>
  <c r="AA41" i="21"/>
  <c r="AA42" i="21"/>
  <c r="AA43" i="21"/>
  <c r="AA44" i="21"/>
  <c r="AA45" i="21"/>
  <c r="AA46" i="21"/>
  <c r="AA47" i="21"/>
  <c r="AA48" i="21"/>
  <c r="AA49" i="21"/>
  <c r="AA50" i="21"/>
  <c r="AA51" i="21"/>
  <c r="AA52" i="21"/>
  <c r="AA53" i="21"/>
  <c r="AA54" i="21"/>
  <c r="AA55" i="21"/>
  <c r="AA56" i="21"/>
  <c r="AA57" i="21"/>
  <c r="AA58" i="21"/>
  <c r="AA59" i="21"/>
  <c r="AA60" i="21"/>
  <c r="AA61" i="21"/>
  <c r="AA62" i="21"/>
  <c r="AA63" i="21"/>
  <c r="AA64" i="21"/>
  <c r="AA65" i="21"/>
  <c r="AA66" i="21"/>
  <c r="AA67" i="21"/>
  <c r="AA68" i="21"/>
  <c r="AA69" i="21"/>
  <c r="AA70" i="21"/>
  <c r="AA71" i="21"/>
  <c r="AA72" i="21"/>
  <c r="AA73" i="21"/>
  <c r="AA74" i="21"/>
  <c r="AA75" i="21"/>
  <c r="AA76" i="21"/>
  <c r="AA77" i="21"/>
  <c r="AA78" i="21"/>
  <c r="AA79" i="21"/>
  <c r="AA80" i="21"/>
  <c r="AA81" i="21"/>
  <c r="AA82" i="21"/>
  <c r="AA83" i="21"/>
  <c r="AA84" i="21"/>
  <c r="AA85" i="21"/>
  <c r="AA88" i="21"/>
  <c r="AA89" i="21"/>
  <c r="AA90" i="21"/>
  <c r="AA91" i="21"/>
  <c r="B6" i="22"/>
  <c r="W50" i="21" l="1"/>
  <c r="W24" i="21"/>
  <c r="Y38" i="21"/>
  <c r="Z38" i="21" s="1"/>
  <c r="Y39" i="21"/>
  <c r="Z39" i="21" s="1"/>
  <c r="Y40" i="21"/>
  <c r="Z40" i="21" s="1"/>
  <c r="Y41" i="21"/>
  <c r="Z41" i="21" s="1"/>
  <c r="Y42" i="21"/>
  <c r="AB42" i="21" s="1"/>
  <c r="Y43" i="21"/>
  <c r="AB43" i="21" s="1"/>
  <c r="Y44" i="21"/>
  <c r="AB44" i="21" s="1"/>
  <c r="Y45" i="21"/>
  <c r="AB45" i="21" s="1"/>
  <c r="Y46" i="21"/>
  <c r="Z46" i="21"/>
  <c r="AB38" i="21"/>
  <c r="AB39" i="21"/>
  <c r="AB40" i="21"/>
  <c r="AB41" i="21"/>
  <c r="AC38" i="21"/>
  <c r="AC39" i="21"/>
  <c r="AC40" i="21"/>
  <c r="AC41" i="21"/>
  <c r="AC42" i="21"/>
  <c r="AC43" i="21"/>
  <c r="AC44" i="21"/>
  <c r="AC45" i="21"/>
  <c r="AC46" i="21"/>
  <c r="Y47" i="21"/>
  <c r="Y48" i="21"/>
  <c r="AB48" i="21" s="1"/>
  <c r="Y49" i="21"/>
  <c r="AB49" i="21" s="1"/>
  <c r="Y50" i="21"/>
  <c r="AB50" i="21" s="1"/>
  <c r="Y51" i="21"/>
  <c r="AB51" i="21" s="1"/>
  <c r="Y52" i="21"/>
  <c r="AB52" i="21" s="1"/>
  <c r="Y53" i="21"/>
  <c r="AB53" i="21" s="1"/>
  <c r="Y54" i="21"/>
  <c r="AB54" i="21" s="1"/>
  <c r="Y55" i="21"/>
  <c r="Z55" i="21" s="1"/>
  <c r="Z47" i="21"/>
  <c r="Z48" i="21"/>
  <c r="Z49" i="21"/>
  <c r="Z50" i="21"/>
  <c r="Z51" i="21"/>
  <c r="Z52" i="21"/>
  <c r="Z53" i="21"/>
  <c r="AB47" i="21"/>
  <c r="AC47" i="21"/>
  <c r="AC48" i="21"/>
  <c r="AC49" i="21"/>
  <c r="AC50" i="21"/>
  <c r="AC51" i="21"/>
  <c r="AC52" i="21"/>
  <c r="AC53" i="21"/>
  <c r="AC54" i="21"/>
  <c r="AC55" i="21"/>
  <c r="Y8" i="21"/>
  <c r="Z8" i="21" s="1"/>
  <c r="Y9" i="21"/>
  <c r="Z9" i="21" s="1"/>
  <c r="Y10" i="21"/>
  <c r="Z10" i="21" s="1"/>
  <c r="Y11" i="21"/>
  <c r="Z11" i="21" s="1"/>
  <c r="Y12" i="21"/>
  <c r="Z12" i="21" s="1"/>
  <c r="Y13" i="21"/>
  <c r="Z13" i="21" s="1"/>
  <c r="Y14" i="21"/>
  <c r="Z14" i="21" s="1"/>
  <c r="Y15" i="21"/>
  <c r="Z15" i="21" s="1"/>
  <c r="Y16" i="21"/>
  <c r="Y17" i="21"/>
  <c r="Y18" i="21"/>
  <c r="Y19" i="21"/>
  <c r="Y20" i="21"/>
  <c r="AB20" i="21" s="1"/>
  <c r="Y21" i="21"/>
  <c r="AB21" i="21" s="1"/>
  <c r="Y22" i="21"/>
  <c r="Y23" i="21"/>
  <c r="Z23" i="21" s="1"/>
  <c r="AB8" i="21"/>
  <c r="AB10" i="21"/>
  <c r="AB11" i="21"/>
  <c r="AB12" i="21"/>
  <c r="AB13" i="21"/>
  <c r="AB14" i="21"/>
  <c r="AB15" i="21"/>
  <c r="AB16" i="21"/>
  <c r="AB17" i="21"/>
  <c r="AB18" i="21"/>
  <c r="AB19" i="21"/>
  <c r="AC8" i="21"/>
  <c r="AC9" i="21"/>
  <c r="AC10" i="21"/>
  <c r="AC11" i="21"/>
  <c r="AC12" i="21"/>
  <c r="AC13" i="21"/>
  <c r="AC14" i="21"/>
  <c r="AC15" i="21"/>
  <c r="AC16" i="21"/>
  <c r="AC17" i="21"/>
  <c r="AC18" i="21"/>
  <c r="AC19" i="21"/>
  <c r="AC20" i="21"/>
  <c r="AC21" i="21"/>
  <c r="AC22" i="21"/>
  <c r="AC23" i="21"/>
  <c r="Y24" i="21"/>
  <c r="AB24" i="21" s="1"/>
  <c r="Y25" i="21"/>
  <c r="AB25" i="21" s="1"/>
  <c r="Y26" i="21"/>
  <c r="AB26" i="21" s="1"/>
  <c r="Y27" i="21"/>
  <c r="AB27" i="21" s="1"/>
  <c r="Y28" i="21"/>
  <c r="AB28" i="21" s="1"/>
  <c r="Y29" i="21"/>
  <c r="AB29" i="21" s="1"/>
  <c r="Y30" i="21"/>
  <c r="AB30" i="21" s="1"/>
  <c r="Y31" i="21"/>
  <c r="Z31" i="21" s="1"/>
  <c r="Z24" i="21"/>
  <c r="Z25" i="21"/>
  <c r="Z26" i="21"/>
  <c r="Z27" i="21"/>
  <c r="Z28" i="21"/>
  <c r="Z29" i="21"/>
  <c r="Z30" i="21"/>
  <c r="AC24" i="21"/>
  <c r="AC25" i="21"/>
  <c r="AC26" i="21"/>
  <c r="AC27" i="21"/>
  <c r="AC28" i="21"/>
  <c r="AC29" i="21"/>
  <c r="AC30" i="21"/>
  <c r="AC31" i="21"/>
  <c r="Y32" i="21"/>
  <c r="AB32" i="21" s="1"/>
  <c r="Y33" i="21"/>
  <c r="AB33" i="21" s="1"/>
  <c r="Y34" i="21"/>
  <c r="AC34" i="21" s="1"/>
  <c r="Y35" i="21"/>
  <c r="AB35" i="21" s="1"/>
  <c r="Z32" i="21"/>
  <c r="Z33" i="21"/>
  <c r="Z34" i="21"/>
  <c r="Z35" i="21"/>
  <c r="Y36" i="21"/>
  <c r="AC36" i="21" s="1"/>
  <c r="AB36" i="21"/>
  <c r="Y37" i="21"/>
  <c r="Z37" i="21" s="1"/>
  <c r="Y56" i="21"/>
  <c r="AC56" i="21" s="1"/>
  <c r="Z56" i="21"/>
  <c r="AB56" i="21"/>
  <c r="Y57" i="21"/>
  <c r="Z57" i="21" s="1"/>
  <c r="AB57" i="21"/>
  <c r="AC57" i="21"/>
  <c r="Z44" i="21" l="1"/>
  <c r="Z42" i="21"/>
  <c r="Z45" i="21"/>
  <c r="Z43" i="21"/>
  <c r="Z36" i="21"/>
  <c r="Z54" i="21"/>
  <c r="AB46" i="21"/>
  <c r="AC37" i="21"/>
  <c r="AB55" i="21"/>
  <c r="AB37" i="21"/>
  <c r="Z22" i="21"/>
  <c r="Z21" i="21"/>
  <c r="Z18" i="21"/>
  <c r="Z19" i="21"/>
  <c r="AB23" i="21"/>
  <c r="Z17" i="21"/>
  <c r="AB22" i="21"/>
  <c r="Z16" i="21"/>
  <c r="Z20" i="21"/>
  <c r="AC33" i="21"/>
  <c r="AB34" i="21"/>
  <c r="AC35" i="21"/>
  <c r="AB31" i="21"/>
  <c r="AC32" i="21"/>
  <c r="J60" i="22"/>
  <c r="J59" i="22"/>
  <c r="J58" i="22"/>
  <c r="J57" i="22"/>
  <c r="J56" i="22"/>
  <c r="J55" i="22"/>
  <c r="BT50" i="22" l="1"/>
  <c r="BU50" i="22" s="1"/>
  <c r="BV50" i="22" s="1"/>
  <c r="BW50" i="22"/>
  <c r="BX50" i="22" s="1"/>
  <c r="BY50" i="22" s="1"/>
  <c r="BZ50" i="22" s="1"/>
  <c r="CA50" i="22" s="1"/>
  <c r="CB50" i="22" s="1"/>
  <c r="Y60" i="21" l="1"/>
  <c r="Z60" i="21"/>
  <c r="Y59" i="21"/>
  <c r="Y58" i="21"/>
  <c r="Y61" i="21"/>
  <c r="Y62" i="21"/>
  <c r="Y63" i="21"/>
  <c r="AB63" i="21"/>
  <c r="Z63" i="21" l="1"/>
  <c r="AB62" i="21"/>
  <c r="Z61" i="21"/>
  <c r="Z58" i="21"/>
  <c r="AB59" i="21"/>
  <c r="AB60" i="21"/>
  <c r="Z62" i="21"/>
  <c r="Z59" i="21"/>
  <c r="AC60" i="21"/>
  <c r="AC59" i="21"/>
  <c r="AB61" i="21"/>
  <c r="AB58" i="21"/>
  <c r="AC61" i="21"/>
  <c r="AC58" i="21"/>
  <c r="AC63" i="21"/>
  <c r="AC62" i="21"/>
  <c r="L53" i="22" l="1"/>
  <c r="H66" i="22" l="1"/>
  <c r="L54" i="22"/>
  <c r="E39" i="22"/>
  <c r="G42" i="22"/>
  <c r="E42" i="22"/>
  <c r="BU58" i="22" l="1"/>
  <c r="BV58" i="22" s="1"/>
  <c r="BX58" i="22"/>
  <c r="BY58" i="22" s="1"/>
  <c r="BZ58" i="22" s="1"/>
  <c r="CA58" i="22" s="1"/>
  <c r="CB58" i="22" s="1"/>
  <c r="N16" i="22" l="1"/>
  <c r="N15" i="22"/>
  <c r="Y90" i="21" l="1"/>
  <c r="Z90" i="21"/>
  <c r="Y81" i="21"/>
  <c r="Z81" i="21"/>
  <c r="AB81" i="21"/>
  <c r="AC81" i="21"/>
  <c r="Y80" i="21"/>
  <c r="Z80" i="21"/>
  <c r="Y75" i="21"/>
  <c r="Z75" i="21"/>
  <c r="Y76" i="21"/>
  <c r="Z76" i="21"/>
  <c r="AC76" i="21"/>
  <c r="Y74" i="21"/>
  <c r="Z74" i="21"/>
  <c r="Y77" i="21"/>
  <c r="Z77" i="21"/>
  <c r="Y79" i="21"/>
  <c r="Z79" i="21"/>
  <c r="Y64" i="21"/>
  <c r="Z64" i="21"/>
  <c r="AC64" i="21"/>
  <c r="AB64" i="21" l="1"/>
  <c r="AB79" i="21"/>
  <c r="AB77" i="21"/>
  <c r="AB74" i="21"/>
  <c r="AB76" i="21"/>
  <c r="AB75" i="21"/>
  <c r="AB80" i="21"/>
  <c r="AB90" i="21"/>
  <c r="AC90" i="21"/>
  <c r="AC80" i="21"/>
  <c r="AC75" i="21"/>
  <c r="AC74" i="21"/>
  <c r="AC77" i="21"/>
  <c r="AC79" i="21"/>
  <c r="BT52" i="22"/>
  <c r="BU52" i="22" s="1"/>
  <c r="BV52" i="22" s="1"/>
  <c r="BW52" i="22"/>
  <c r="BX52" i="22" s="1"/>
  <c r="BY52" i="22" s="1"/>
  <c r="BZ52" i="22" s="1"/>
  <c r="CA52" i="22" s="1"/>
  <c r="CB52" i="22" s="1"/>
  <c r="BT55" i="22"/>
  <c r="BU55" i="22" s="1"/>
  <c r="BV55" i="22" s="1"/>
  <c r="BW55" i="22"/>
  <c r="BX55" i="22" s="1"/>
  <c r="BY55" i="22" s="1"/>
  <c r="BZ55" i="22" s="1"/>
  <c r="CA55" i="22" s="1"/>
  <c r="CB55" i="22" s="1"/>
  <c r="BT56" i="22"/>
  <c r="BU56" i="22" s="1"/>
  <c r="BV56" i="22" s="1"/>
  <c r="BW56" i="22"/>
  <c r="BX56" i="22" s="1"/>
  <c r="BY56" i="22" s="1"/>
  <c r="BZ56" i="22" s="1"/>
  <c r="CA56" i="22" s="1"/>
  <c r="CB56" i="22" s="1"/>
  <c r="BT57" i="22"/>
  <c r="BU57" i="22" s="1"/>
  <c r="BV57" i="22" s="1"/>
  <c r="BW57" i="22"/>
  <c r="BX57" i="22" s="1"/>
  <c r="BY57" i="22" s="1"/>
  <c r="BZ57" i="22" s="1"/>
  <c r="CA57" i="22" s="1"/>
  <c r="CB57" i="22" s="1"/>
  <c r="BW31" i="22"/>
  <c r="BX31" i="22" s="1"/>
  <c r="BY31" i="22" s="1"/>
  <c r="BZ31" i="22" s="1"/>
  <c r="CA31" i="22" s="1"/>
  <c r="CB31" i="22" s="1"/>
  <c r="BT31" i="22"/>
  <c r="BU31" i="22" s="1"/>
  <c r="BV31" i="22" s="1"/>
  <c r="E44" i="22" l="1"/>
  <c r="F44" i="22"/>
  <c r="BT44" i="22" l="1"/>
  <c r="BU44" i="22" s="1"/>
  <c r="BV44" i="22" s="1"/>
  <c r="BW44" i="22"/>
  <c r="BX44" i="22" s="1"/>
  <c r="BY44" i="22" s="1"/>
  <c r="BZ44" i="22" s="1"/>
  <c r="CA44" i="22" s="1"/>
  <c r="CB44" i="22" s="1"/>
  <c r="Y95" i="21" l="1"/>
  <c r="Z95" i="21"/>
  <c r="AC95" i="21"/>
  <c r="Y96" i="21"/>
  <c r="AA96" i="21" s="1"/>
  <c r="Z96" i="21" l="1"/>
  <c r="AB95" i="21"/>
  <c r="AA95" i="21"/>
  <c r="AC96" i="21"/>
  <c r="AB96" i="21"/>
  <c r="Y114" i="21" l="1"/>
  <c r="AC114" i="21"/>
  <c r="Y115" i="21"/>
  <c r="Y116" i="21"/>
  <c r="AA116" i="21" s="1"/>
  <c r="AB116" i="21"/>
  <c r="Y117" i="21"/>
  <c r="AA117" i="21" s="1"/>
  <c r="AB117" i="21"/>
  <c r="AC117" i="21"/>
  <c r="AA114" i="21" l="1"/>
  <c r="AB114" i="21"/>
  <c r="AA115" i="21"/>
  <c r="AB115" i="21"/>
  <c r="AC115" i="21"/>
  <c r="Z116" i="21"/>
  <c r="Z117" i="21"/>
  <c r="Z115" i="21"/>
  <c r="Z114" i="21"/>
  <c r="AC116" i="21"/>
  <c r="Y112" i="21"/>
  <c r="AA112" i="21" s="1"/>
  <c r="AB112" i="21"/>
  <c r="Y111" i="21"/>
  <c r="AB111" i="21"/>
  <c r="Y108" i="21"/>
  <c r="AA108" i="21" s="1"/>
  <c r="AB108" i="21"/>
  <c r="Y109" i="21"/>
  <c r="AA109" i="21" s="1"/>
  <c r="Y107" i="21"/>
  <c r="AA107" i="21" s="1"/>
  <c r="AB107" i="21"/>
  <c r="AC107" i="21"/>
  <c r="Y110" i="21"/>
  <c r="AA110" i="21" s="1"/>
  <c r="AB110" i="21"/>
  <c r="AC110" i="21"/>
  <c r="Y113" i="21"/>
  <c r="AA113" i="21" s="1"/>
  <c r="Y131" i="21"/>
  <c r="AA131" i="21" s="1"/>
  <c r="Z131" i="21"/>
  <c r="AC131" i="21"/>
  <c r="Y118" i="21"/>
  <c r="Y119" i="21"/>
  <c r="Y120" i="21"/>
  <c r="Y121" i="21"/>
  <c r="Y122" i="21"/>
  <c r="Y123" i="21"/>
  <c r="Y105" i="21"/>
  <c r="AA105" i="21" s="1"/>
  <c r="AB105" i="21"/>
  <c r="AC105" i="21"/>
  <c r="Y100" i="21"/>
  <c r="AA100" i="21" s="1"/>
  <c r="Y101" i="21"/>
  <c r="AA101" i="21" s="1"/>
  <c r="Y102" i="21"/>
  <c r="AA102" i="21" s="1"/>
  <c r="AB102" i="21"/>
  <c r="Y103" i="21"/>
  <c r="AA103" i="21" s="1"/>
  <c r="Y104" i="21"/>
  <c r="AA104" i="21" s="1"/>
  <c r="Y98" i="21"/>
  <c r="AA98" i="21" s="1"/>
  <c r="Y99" i="21"/>
  <c r="AA99" i="21" s="1"/>
  <c r="Y106" i="21"/>
  <c r="AA106" i="21" s="1"/>
  <c r="Y97" i="21"/>
  <c r="AA97" i="21" s="1"/>
  <c r="AA111" i="21" l="1"/>
  <c r="AC111" i="21"/>
  <c r="AC112" i="21"/>
  <c r="AC113" i="21"/>
  <c r="AC97" i="21"/>
  <c r="AB97" i="21"/>
  <c r="Z101" i="21"/>
  <c r="Z102" i="21"/>
  <c r="Z111" i="21"/>
  <c r="Z110" i="21"/>
  <c r="AB103" i="21"/>
  <c r="Z105" i="21"/>
  <c r="AC122" i="21"/>
  <c r="AA122" i="21"/>
  <c r="AB104" i="21"/>
  <c r="Z107" i="21"/>
  <c r="AB109" i="21"/>
  <c r="AC100" i="21"/>
  <c r="Z108" i="21"/>
  <c r="Z123" i="21"/>
  <c r="AA123" i="21"/>
  <c r="Z121" i="21"/>
  <c r="AA121" i="21"/>
  <c r="AC120" i="21"/>
  <c r="AA120" i="21"/>
  <c r="Z112" i="21"/>
  <c r="Z119" i="21"/>
  <c r="AA119" i="21"/>
  <c r="Z118" i="21"/>
  <c r="AA118" i="21"/>
  <c r="AB131" i="21"/>
  <c r="Z97" i="21"/>
  <c r="AB106" i="21"/>
  <c r="AB113" i="21"/>
  <c r="Z99" i="21"/>
  <c r="AB98" i="21"/>
  <c r="Z120" i="21"/>
  <c r="Z113" i="21"/>
  <c r="Z109" i="21"/>
  <c r="AC108" i="21"/>
  <c r="AC109" i="21"/>
  <c r="AB120" i="21"/>
  <c r="Z106" i="21"/>
  <c r="AC119" i="21"/>
  <c r="AB119" i="21"/>
  <c r="AC118" i="21"/>
  <c r="AB118" i="21"/>
  <c r="AC121" i="21"/>
  <c r="AB122" i="21"/>
  <c r="Z122" i="21"/>
  <c r="AB121" i="21"/>
  <c r="Z103" i="21"/>
  <c r="AC123" i="21"/>
  <c r="AB123" i="21"/>
  <c r="AC103" i="21"/>
  <c r="AB100" i="21"/>
  <c r="Z100" i="21"/>
  <c r="AC102" i="21"/>
  <c r="AB99" i="21"/>
  <c r="AC104" i="21"/>
  <c r="Z98" i="21"/>
  <c r="Z104" i="21"/>
  <c r="AC101" i="21"/>
  <c r="AB101" i="21"/>
  <c r="AC98" i="21"/>
  <c r="AC99" i="21"/>
  <c r="AC106" i="21"/>
  <c r="B30" i="22" l="1"/>
  <c r="K21" i="22" l="1"/>
  <c r="B62" i="22"/>
  <c r="BI48" i="22" l="1"/>
  <c r="BI47" i="22"/>
  <c r="BI40" i="22"/>
  <c r="BI39" i="22"/>
  <c r="BJ36" i="22"/>
  <c r="BJ37" i="22" s="1"/>
  <c r="BJ35" i="22" l="1"/>
  <c r="BJ39" i="22" s="1"/>
  <c r="BJ40" i="22"/>
  <c r="Y65" i="21"/>
  <c r="Y66" i="21"/>
  <c r="Y67" i="21"/>
  <c r="Y68" i="21"/>
  <c r="Y69" i="21"/>
  <c r="Y70" i="21"/>
  <c r="Y71" i="21"/>
  <c r="Y72" i="21"/>
  <c r="Y73" i="21"/>
  <c r="Y78" i="21"/>
  <c r="Y82" i="21"/>
  <c r="Y83" i="21"/>
  <c r="Y84" i="21"/>
  <c r="Y85" i="21"/>
  <c r="Y88" i="21"/>
  <c r="Y89" i="21"/>
  <c r="Y91" i="21"/>
  <c r="Y124" i="21"/>
  <c r="Y125" i="21"/>
  <c r="Y126" i="21"/>
  <c r="Y127" i="21"/>
  <c r="AA127" i="21" s="1"/>
  <c r="Y128" i="21"/>
  <c r="Y129" i="21"/>
  <c r="Y130" i="21"/>
  <c r="AA130" i="21" s="1"/>
  <c r="Y132" i="21"/>
  <c r="Y133" i="21"/>
  <c r="Z127" i="21"/>
  <c r="Z129" i="21"/>
  <c r="Z130" i="21"/>
  <c r="Z132" i="21"/>
  <c r="Z133" i="21"/>
  <c r="AB65" i="21"/>
  <c r="AB66" i="21"/>
  <c r="AB67" i="21"/>
  <c r="AB68" i="21"/>
  <c r="AB69" i="21"/>
  <c r="AB70" i="21"/>
  <c r="AB71" i="21"/>
  <c r="AB72" i="21"/>
  <c r="AB73" i="21"/>
  <c r="AB78" i="21"/>
  <c r="AB82" i="21"/>
  <c r="AB83" i="21"/>
  <c r="AB84" i="21"/>
  <c r="AB85" i="21"/>
  <c r="AB88" i="21"/>
  <c r="AB89" i="21"/>
  <c r="AC65" i="21"/>
  <c r="AC66" i="21"/>
  <c r="AC67" i="21"/>
  <c r="AC68" i="21"/>
  <c r="AC69" i="21"/>
  <c r="AC70" i="21"/>
  <c r="AC71" i="21"/>
  <c r="AC72" i="21"/>
  <c r="AC73" i="21"/>
  <c r="AC78" i="21"/>
  <c r="AC82" i="21"/>
  <c r="AC83" i="21"/>
  <c r="AC84" i="21"/>
  <c r="AC85" i="21"/>
  <c r="AC88" i="21"/>
  <c r="AC89" i="21"/>
  <c r="AC127" i="21"/>
  <c r="AC130" i="21"/>
  <c r="AA128" i="21" l="1"/>
  <c r="Z128" i="21"/>
  <c r="AC128" i="21"/>
  <c r="AA129" i="21"/>
  <c r="AC129" i="21"/>
  <c r="AA132" i="21"/>
  <c r="AC132" i="21"/>
  <c r="AA133" i="21"/>
  <c r="AC133" i="21"/>
  <c r="Z88" i="21"/>
  <c r="Z84" i="21"/>
  <c r="Z89" i="21"/>
  <c r="Z85" i="21"/>
  <c r="Z82" i="21"/>
  <c r="Z73" i="21"/>
  <c r="AB126" i="21"/>
  <c r="AA126" i="21"/>
  <c r="AB125" i="21"/>
  <c r="AA125" i="21"/>
  <c r="AB124" i="21"/>
  <c r="AA124" i="21"/>
  <c r="Z91" i="21"/>
  <c r="Z83" i="21"/>
  <c r="Z78" i="21"/>
  <c r="Z72" i="21"/>
  <c r="Z71" i="21"/>
  <c r="Z70" i="21"/>
  <c r="Z69" i="21"/>
  <c r="AB133" i="21"/>
  <c r="Z68" i="21"/>
  <c r="AB132" i="21"/>
  <c r="Z67" i="21"/>
  <c r="AB130" i="21"/>
  <c r="Z66" i="21"/>
  <c r="AB129" i="21"/>
  <c r="Z65" i="21"/>
  <c r="AB128" i="21"/>
  <c r="AB127" i="21"/>
  <c r="AB91" i="21"/>
  <c r="Z126" i="21"/>
  <c r="Z125" i="21"/>
  <c r="AC126" i="21"/>
  <c r="AC125" i="21"/>
  <c r="Z124" i="21"/>
  <c r="AC124" i="21"/>
  <c r="AC91" i="21"/>
  <c r="E34" i="22"/>
  <c r="G34" i="22"/>
  <c r="BI21" i="22" l="1"/>
  <c r="BX8" i="22"/>
  <c r="BX9" i="22"/>
  <c r="BX10" i="22"/>
  <c r="BX11" i="22"/>
  <c r="BX12" i="22"/>
  <c r="BX13" i="22"/>
  <c r="BX14" i="22"/>
  <c r="BX15" i="22"/>
  <c r="BX16" i="22"/>
  <c r="BX17" i="22"/>
  <c r="BX18" i="22"/>
  <c r="BX19" i="22"/>
  <c r="BX20" i="22"/>
  <c r="BX21" i="22"/>
  <c r="BX22" i="22"/>
  <c r="BX23" i="22"/>
  <c r="BX24" i="22"/>
  <c r="BX25" i="22"/>
  <c r="BX26" i="22"/>
  <c r="BX27" i="22"/>
  <c r="BX28" i="22"/>
  <c r="BX29" i="22"/>
  <c r="BX30" i="22"/>
  <c r="BX32" i="22"/>
  <c r="BX33" i="22"/>
  <c r="BX34" i="22"/>
  <c r="BX35" i="22"/>
  <c r="BX36" i="22"/>
  <c r="BX37" i="22"/>
  <c r="BX38" i="22"/>
  <c r="BX39" i="22"/>
  <c r="BX40" i="22"/>
  <c r="BX41" i="22"/>
  <c r="BX42" i="22"/>
  <c r="BX43" i="22"/>
  <c r="BX45" i="22"/>
  <c r="BX46" i="22"/>
  <c r="BX47" i="22"/>
  <c r="BX48" i="22"/>
  <c r="BX49" i="22"/>
  <c r="BX51" i="22"/>
  <c r="BX53" i="22"/>
  <c r="BX54" i="22"/>
  <c r="BX59" i="22"/>
  <c r="BX60" i="22"/>
  <c r="BX61" i="22"/>
  <c r="BX62" i="22"/>
  <c r="BX63" i="22"/>
  <c r="BX64" i="22"/>
  <c r="BX65" i="22"/>
  <c r="BX66" i="22"/>
  <c r="BX67" i="22"/>
  <c r="BX68" i="22"/>
  <c r="BX69" i="22"/>
  <c r="BX70" i="22"/>
  <c r="BX71" i="22"/>
  <c r="BX72" i="22"/>
  <c r="BX73" i="22"/>
  <c r="BX74" i="22"/>
  <c r="BX75" i="22"/>
  <c r="BX76" i="22"/>
  <c r="BX77" i="22"/>
  <c r="BX78" i="22"/>
  <c r="BX79" i="22"/>
  <c r="BX80" i="22"/>
  <c r="BX81" i="22"/>
  <c r="BX82" i="22"/>
  <c r="BX83" i="22"/>
  <c r="BX84" i="22"/>
  <c r="BX85" i="22"/>
  <c r="BX86" i="22"/>
  <c r="BX87" i="22"/>
  <c r="BX88" i="22"/>
  <c r="BX89" i="22"/>
  <c r="BX90" i="22"/>
  <c r="BX91" i="22"/>
  <c r="BX92" i="22"/>
  <c r="BX93" i="22"/>
  <c r="BX94" i="22"/>
  <c r="BX95" i="22"/>
  <c r="BX96" i="22"/>
  <c r="BX97" i="22"/>
  <c r="BX98" i="22"/>
  <c r="BX99" i="22"/>
  <c r="BX100" i="22"/>
  <c r="BX101" i="22"/>
  <c r="BX102" i="22"/>
  <c r="BX103" i="22"/>
  <c r="BX104" i="22"/>
  <c r="BX105" i="22"/>
  <c r="BX106" i="22"/>
  <c r="BX107" i="22"/>
  <c r="BX108" i="22"/>
  <c r="BX109" i="22"/>
  <c r="BX111" i="22"/>
  <c r="BX7" i="22"/>
  <c r="E31" i="22" l="1"/>
  <c r="BF30" i="22" s="1"/>
  <c r="BJ28" i="22" l="1"/>
  <c r="BJ29" i="22" s="1"/>
  <c r="BJ27" i="22" l="1"/>
  <c r="Y7" i="21"/>
  <c r="Z7" i="21" l="1"/>
  <c r="AA7" i="21"/>
  <c r="AE86" i="21" s="1"/>
  <c r="AI86" i="21" s="1"/>
  <c r="AD45" i="21"/>
  <c r="AH45" i="21" s="1"/>
  <c r="AD38" i="21"/>
  <c r="AH38" i="21" s="1"/>
  <c r="AD39" i="21"/>
  <c r="AH39" i="21" s="1"/>
  <c r="AD40" i="21"/>
  <c r="AH40" i="21" s="1"/>
  <c r="AD41" i="21"/>
  <c r="AH41" i="21" s="1"/>
  <c r="AD42" i="21"/>
  <c r="AH42" i="21" s="1"/>
  <c r="AD44" i="21"/>
  <c r="AH44" i="21" s="1"/>
  <c r="AD46" i="21"/>
  <c r="AH46" i="21" s="1"/>
  <c r="AD50" i="21"/>
  <c r="AH50" i="21" s="1"/>
  <c r="AD52" i="21"/>
  <c r="AH52" i="21" s="1"/>
  <c r="AD53" i="21"/>
  <c r="AH53" i="21" s="1"/>
  <c r="AD51" i="21"/>
  <c r="AH51" i="21" s="1"/>
  <c r="AD54" i="21"/>
  <c r="AH54" i="21" s="1"/>
  <c r="AD48" i="21"/>
  <c r="AH48" i="21" s="1"/>
  <c r="AD47" i="21"/>
  <c r="AH47" i="21" s="1"/>
  <c r="AD49" i="21"/>
  <c r="AH49" i="21" s="1"/>
  <c r="AD55" i="21"/>
  <c r="AH55" i="21" s="1"/>
  <c r="AD10" i="21"/>
  <c r="AH10" i="21" s="1"/>
  <c r="AD11" i="21"/>
  <c r="AH11" i="21" s="1"/>
  <c r="AD8" i="21"/>
  <c r="AH8" i="21" s="1"/>
  <c r="AD12" i="21"/>
  <c r="AH12" i="21" s="1"/>
  <c r="AD19" i="21"/>
  <c r="AH19" i="21" s="1"/>
  <c r="AD13" i="21"/>
  <c r="AH13" i="21" s="1"/>
  <c r="AD22" i="21"/>
  <c r="AH22" i="21" s="1"/>
  <c r="AD23" i="21"/>
  <c r="AH23" i="21" s="1"/>
  <c r="AD15" i="21"/>
  <c r="AH15" i="21" s="1"/>
  <c r="AD20" i="21"/>
  <c r="AH20" i="21" s="1"/>
  <c r="AD17" i="21"/>
  <c r="AH17" i="21" s="1"/>
  <c r="AD18" i="21"/>
  <c r="AH18" i="21" s="1"/>
  <c r="AD21" i="21"/>
  <c r="AH21" i="21" s="1"/>
  <c r="AD16" i="21"/>
  <c r="AH16" i="21" s="1"/>
  <c r="AD14" i="21"/>
  <c r="AH14" i="21" s="1"/>
  <c r="AD24" i="21"/>
  <c r="AH24" i="21" s="1"/>
  <c r="AD26" i="21"/>
  <c r="AH26" i="21" s="1"/>
  <c r="AD28" i="21"/>
  <c r="AH28" i="21" s="1"/>
  <c r="AD30" i="21"/>
  <c r="AH30" i="21" s="1"/>
  <c r="AD31" i="21"/>
  <c r="AH31" i="21" s="1"/>
  <c r="AD25" i="21"/>
  <c r="AH25" i="21" s="1"/>
  <c r="AD27" i="21"/>
  <c r="AH27" i="21" s="1"/>
  <c r="AD29" i="21"/>
  <c r="AH29" i="21" s="1"/>
  <c r="AD35" i="21"/>
  <c r="AH35" i="21" s="1"/>
  <c r="AD32" i="21"/>
  <c r="AH32" i="21" s="1"/>
  <c r="AD34" i="21"/>
  <c r="AH34" i="21" s="1"/>
  <c r="AD33" i="21"/>
  <c r="AH33" i="21" s="1"/>
  <c r="AD37" i="21"/>
  <c r="AH37" i="21" s="1"/>
  <c r="AD36" i="21"/>
  <c r="AH36" i="21" s="1"/>
  <c r="AD57" i="21"/>
  <c r="AH57" i="21" s="1"/>
  <c r="AD56" i="21"/>
  <c r="AH56" i="21" s="1"/>
  <c r="AD59" i="21"/>
  <c r="AH59" i="21" s="1"/>
  <c r="AD60" i="21"/>
  <c r="AH60" i="21" s="1"/>
  <c r="AD58" i="21"/>
  <c r="AH58" i="21" s="1"/>
  <c r="AD61" i="21"/>
  <c r="AH61" i="21" s="1"/>
  <c r="AD63" i="21"/>
  <c r="AH63" i="21" s="1"/>
  <c r="AD62" i="21"/>
  <c r="AH62" i="21" s="1"/>
  <c r="AD81" i="21"/>
  <c r="AH81" i="21" s="1"/>
  <c r="AD90" i="21"/>
  <c r="AH90" i="21" s="1"/>
  <c r="AD75" i="21"/>
  <c r="AH75" i="21" s="1"/>
  <c r="AD80" i="21"/>
  <c r="AH80" i="21" s="1"/>
  <c r="AD74" i="21"/>
  <c r="AH74" i="21" s="1"/>
  <c r="AD76" i="21"/>
  <c r="AH76" i="21" s="1"/>
  <c r="AD79" i="21"/>
  <c r="AH79" i="21" s="1"/>
  <c r="AD77" i="21"/>
  <c r="AH77" i="21" s="1"/>
  <c r="AD95" i="21"/>
  <c r="AH95" i="21" s="1"/>
  <c r="AD64" i="21"/>
  <c r="AH64" i="21" s="1"/>
  <c r="AD114" i="21"/>
  <c r="AH114" i="21" s="1"/>
  <c r="AD96" i="21"/>
  <c r="AH96" i="21" s="1"/>
  <c r="AD116" i="21"/>
  <c r="AH116" i="21" s="1"/>
  <c r="AD115" i="21"/>
  <c r="AH115" i="21" s="1"/>
  <c r="AD117" i="21"/>
  <c r="AH117" i="21" s="1"/>
  <c r="AD111" i="21"/>
  <c r="AH111" i="21" s="1"/>
  <c r="AD112" i="21"/>
  <c r="AH112" i="21" s="1"/>
  <c r="AD109" i="21"/>
  <c r="AH109" i="21" s="1"/>
  <c r="AD108" i="21"/>
  <c r="AH108" i="21" s="1"/>
  <c r="AD110" i="21"/>
  <c r="AH110" i="21" s="1"/>
  <c r="AD107" i="21"/>
  <c r="AH107" i="21" s="1"/>
  <c r="AD131" i="21"/>
  <c r="AH131" i="21" s="1"/>
  <c r="AD113" i="21"/>
  <c r="AH113" i="21" s="1"/>
  <c r="AD119" i="21"/>
  <c r="AH119" i="21" s="1"/>
  <c r="AD118" i="21"/>
  <c r="AH118" i="21" s="1"/>
  <c r="AD121" i="21"/>
  <c r="AH121" i="21" s="1"/>
  <c r="AD120" i="21"/>
  <c r="AH120" i="21" s="1"/>
  <c r="AD123" i="21"/>
  <c r="AH123" i="21" s="1"/>
  <c r="AD122" i="21"/>
  <c r="AH122" i="21" s="1"/>
  <c r="AD100" i="21"/>
  <c r="AH100" i="21" s="1"/>
  <c r="AD105" i="21"/>
  <c r="AH105" i="21" s="1"/>
  <c r="AD102" i="21"/>
  <c r="AH102" i="21" s="1"/>
  <c r="AD101" i="21"/>
  <c r="AH101" i="21" s="1"/>
  <c r="AD104" i="21"/>
  <c r="AH104" i="21" s="1"/>
  <c r="AD103" i="21"/>
  <c r="AH103" i="21" s="1"/>
  <c r="AD99" i="21"/>
  <c r="AH99" i="21" s="1"/>
  <c r="AD98" i="21"/>
  <c r="AH98" i="21" s="1"/>
  <c r="AD97" i="21"/>
  <c r="AH97" i="21" s="1"/>
  <c r="AD106" i="21"/>
  <c r="AH106" i="21" s="1"/>
  <c r="AD69" i="21"/>
  <c r="AH69" i="21" s="1"/>
  <c r="AD88" i="21"/>
  <c r="AH88" i="21" s="1"/>
  <c r="AD130" i="21"/>
  <c r="AD66" i="21"/>
  <c r="AH66" i="21" s="1"/>
  <c r="AD85" i="21"/>
  <c r="AH85" i="21" s="1"/>
  <c r="AD128" i="21"/>
  <c r="AD129" i="21"/>
  <c r="AD65" i="21"/>
  <c r="AH65" i="21" s="1"/>
  <c r="AD71" i="21"/>
  <c r="AH71" i="21" s="1"/>
  <c r="AD133" i="21"/>
  <c r="AD91" i="21"/>
  <c r="AH91" i="21" s="1"/>
  <c r="AD82" i="21"/>
  <c r="AH82" i="21" s="1"/>
  <c r="AD127" i="21"/>
  <c r="AD132" i="21"/>
  <c r="AD68" i="21"/>
  <c r="AH68" i="21" s="1"/>
  <c r="AD84" i="21"/>
  <c r="AH84" i="21" s="1"/>
  <c r="AD70" i="21"/>
  <c r="AH70" i="21" s="1"/>
  <c r="AD124" i="21"/>
  <c r="AD73" i="21"/>
  <c r="AH73" i="21" s="1"/>
  <c r="AD89" i="21"/>
  <c r="AH89" i="21" s="1"/>
  <c r="AD125" i="21"/>
  <c r="AD67" i="21"/>
  <c r="AH67" i="21" s="1"/>
  <c r="AD83" i="21"/>
  <c r="AH83" i="21" s="1"/>
  <c r="AD126" i="21"/>
  <c r="AD78" i="21"/>
  <c r="AH78" i="21" s="1"/>
  <c r="AD72" i="21"/>
  <c r="AH72" i="21" s="1"/>
  <c r="AC7" i="21"/>
  <c r="AG86" i="21" s="1"/>
  <c r="AK86" i="21" s="1"/>
  <c r="AB7" i="21"/>
  <c r="AF86" i="21" s="1"/>
  <c r="AJ86" i="21" s="1"/>
  <c r="AD7" i="21"/>
  <c r="AH7" i="21" s="1"/>
  <c r="AD87" i="21" l="1"/>
  <c r="AH87" i="21" s="1"/>
  <c r="AD86" i="21"/>
  <c r="AH86" i="21" s="1"/>
  <c r="AG92" i="21"/>
  <c r="AK92" i="21" s="1"/>
  <c r="AG87" i="21"/>
  <c r="AK87" i="21" s="1"/>
  <c r="AF92" i="21"/>
  <c r="AJ92" i="21" s="1"/>
  <c r="AF87" i="21"/>
  <c r="AJ87" i="21" s="1"/>
  <c r="AE92" i="21"/>
  <c r="AI92" i="21" s="1"/>
  <c r="AE87" i="21"/>
  <c r="AI87" i="21" s="1"/>
  <c r="AD93" i="21"/>
  <c r="AH93" i="21" s="1"/>
  <c r="AD92" i="21"/>
  <c r="AH92" i="21" s="1"/>
  <c r="AF94" i="21"/>
  <c r="AJ94" i="21" s="1"/>
  <c r="AF93" i="21"/>
  <c r="AJ93" i="21" s="1"/>
  <c r="AG94" i="21"/>
  <c r="AK94" i="21" s="1"/>
  <c r="AG93" i="21"/>
  <c r="AK93" i="21" s="1"/>
  <c r="AE94" i="21"/>
  <c r="AI94" i="21" s="1"/>
  <c r="AE93" i="21"/>
  <c r="AI93" i="21" s="1"/>
  <c r="AD9" i="21"/>
  <c r="AH9" i="21" s="1"/>
  <c r="AD94" i="21"/>
  <c r="AH94" i="21" s="1"/>
  <c r="AD43" i="21"/>
  <c r="AH43" i="21" s="1"/>
  <c r="AE7" i="21"/>
  <c r="AI7" i="21" s="1"/>
  <c r="AE51" i="21"/>
  <c r="AI51" i="21" s="1"/>
  <c r="AE49" i="21"/>
  <c r="AI49" i="21" s="1"/>
  <c r="AE15" i="21"/>
  <c r="AI15" i="21" s="1"/>
  <c r="AE14" i="21"/>
  <c r="AI14" i="21" s="1"/>
  <c r="AE18" i="21"/>
  <c r="AI18" i="21" s="1"/>
  <c r="AE25" i="21"/>
  <c r="AI25" i="21" s="1"/>
  <c r="AE8" i="21"/>
  <c r="AI8" i="21" s="1"/>
  <c r="AE27" i="21"/>
  <c r="AI27" i="21" s="1"/>
  <c r="AE26" i="21"/>
  <c r="AI26" i="21" s="1"/>
  <c r="AE28" i="21"/>
  <c r="AI28" i="21" s="1"/>
  <c r="AE24" i="21"/>
  <c r="AI24" i="21" s="1"/>
  <c r="AE55" i="21"/>
  <c r="AI55" i="21" s="1"/>
  <c r="AE13" i="21"/>
  <c r="AI13" i="21" s="1"/>
  <c r="AE32" i="21"/>
  <c r="AI32" i="21" s="1"/>
  <c r="AE11" i="21"/>
  <c r="AI11" i="21" s="1"/>
  <c r="AE57" i="21"/>
  <c r="AI57" i="21" s="1"/>
  <c r="AE50" i="21"/>
  <c r="AI50" i="21" s="1"/>
  <c r="AE34" i="21"/>
  <c r="AI34" i="21" s="1"/>
  <c r="AE17" i="21"/>
  <c r="AI17" i="21" s="1"/>
  <c r="AE30" i="21"/>
  <c r="AI30" i="21" s="1"/>
  <c r="AE22" i="21"/>
  <c r="AI22" i="21" s="1"/>
  <c r="AE19" i="21"/>
  <c r="AI19" i="21" s="1"/>
  <c r="AE21" i="21"/>
  <c r="AI21" i="21" s="1"/>
  <c r="AE16" i="21"/>
  <c r="AI16" i="21" s="1"/>
  <c r="AE9" i="21"/>
  <c r="AI9" i="21" s="1"/>
  <c r="AE12" i="21"/>
  <c r="AI12" i="21" s="1"/>
  <c r="AO12" i="21" s="1"/>
  <c r="AE41" i="21"/>
  <c r="AI41" i="21" s="1"/>
  <c r="AE46" i="21"/>
  <c r="AI46" i="21" s="1"/>
  <c r="AE48" i="21"/>
  <c r="AI48" i="21" s="1"/>
  <c r="AE47" i="21"/>
  <c r="AI47" i="21" s="1"/>
  <c r="AE56" i="21"/>
  <c r="AI56" i="21" s="1"/>
  <c r="AE35" i="21"/>
  <c r="AI35" i="21" s="1"/>
  <c r="AE40" i="21"/>
  <c r="AI40" i="21" s="1"/>
  <c r="AE37" i="21"/>
  <c r="AI37" i="21" s="1"/>
  <c r="AE45" i="21"/>
  <c r="AI45" i="21" s="1"/>
  <c r="AE20" i="21"/>
  <c r="AI20" i="21" s="1"/>
  <c r="AE39" i="21"/>
  <c r="AI39" i="21" s="1"/>
  <c r="AE10" i="21"/>
  <c r="AI10" i="21" s="1"/>
  <c r="AE33" i="21"/>
  <c r="AI33" i="21" s="1"/>
  <c r="AE23" i="21"/>
  <c r="AI23" i="21" s="1"/>
  <c r="AE44" i="21"/>
  <c r="AI44" i="21" s="1"/>
  <c r="AE54" i="21"/>
  <c r="AI54" i="21" s="1"/>
  <c r="AE43" i="21"/>
  <c r="AI43" i="21" s="1"/>
  <c r="AE52" i="21"/>
  <c r="AI52" i="21" s="1"/>
  <c r="AE36" i="21"/>
  <c r="AI36" i="21" s="1"/>
  <c r="AE42" i="21"/>
  <c r="AI42" i="21" s="1"/>
  <c r="AE29" i="21"/>
  <c r="AI29" i="21" s="1"/>
  <c r="AE31" i="21"/>
  <c r="AI31" i="21" s="1"/>
  <c r="AE53" i="21"/>
  <c r="AI53" i="21" s="1"/>
  <c r="AE38" i="21"/>
  <c r="AI38" i="21" s="1"/>
  <c r="AE63" i="21"/>
  <c r="AI63" i="21" s="1"/>
  <c r="AE62" i="21"/>
  <c r="AI62" i="21" s="1"/>
  <c r="AE61" i="21"/>
  <c r="AI61" i="21" s="1"/>
  <c r="AE59" i="21"/>
  <c r="AI59" i="21" s="1"/>
  <c r="AE60" i="21"/>
  <c r="AI60" i="21" s="1"/>
  <c r="AE58" i="21"/>
  <c r="AI58" i="21" s="1"/>
  <c r="AE64" i="21"/>
  <c r="AI64" i="21" s="1"/>
  <c r="AE79" i="21"/>
  <c r="AI79" i="21" s="1"/>
  <c r="AE77" i="21"/>
  <c r="AI77" i="21" s="1"/>
  <c r="AE75" i="21"/>
  <c r="AI75" i="21" s="1"/>
  <c r="AE80" i="21"/>
  <c r="AI80" i="21" s="1"/>
  <c r="AE81" i="21"/>
  <c r="AI81" i="21" s="1"/>
  <c r="AE74" i="21"/>
  <c r="AI74" i="21" s="1"/>
  <c r="AE90" i="21"/>
  <c r="AI90" i="21" s="1"/>
  <c r="AE76" i="21"/>
  <c r="AI76" i="21" s="1"/>
  <c r="AE96" i="21"/>
  <c r="AI96" i="21" s="1"/>
  <c r="AE95" i="21"/>
  <c r="AI95" i="21" s="1"/>
  <c r="AE117" i="21"/>
  <c r="AI117" i="21" s="1"/>
  <c r="AE114" i="21"/>
  <c r="AI114" i="21" s="1"/>
  <c r="AE116" i="21"/>
  <c r="AI116" i="21" s="1"/>
  <c r="AE115" i="21"/>
  <c r="AI115" i="21" s="1"/>
  <c r="AE100" i="21"/>
  <c r="AI100" i="21" s="1"/>
  <c r="AE101" i="21"/>
  <c r="AI101" i="21" s="1"/>
  <c r="AE97" i="21"/>
  <c r="AI97" i="21" s="1"/>
  <c r="AE108" i="21"/>
  <c r="AI108" i="21" s="1"/>
  <c r="AE102" i="21"/>
  <c r="AI102" i="21" s="1"/>
  <c r="AE106" i="21"/>
  <c r="AI106" i="21" s="1"/>
  <c r="AE111" i="21"/>
  <c r="AI111" i="21" s="1"/>
  <c r="AE123" i="21"/>
  <c r="AI123" i="21" s="1"/>
  <c r="AE113" i="21"/>
  <c r="AI113" i="21" s="1"/>
  <c r="AE110" i="21"/>
  <c r="AI110" i="21" s="1"/>
  <c r="AE99" i="21"/>
  <c r="AI99" i="21" s="1"/>
  <c r="AE121" i="21"/>
  <c r="AI121" i="21" s="1"/>
  <c r="AE103" i="21"/>
  <c r="AI103" i="21" s="1"/>
  <c r="AE98" i="21"/>
  <c r="AI98" i="21" s="1"/>
  <c r="AE105" i="21"/>
  <c r="AI105" i="21" s="1"/>
  <c r="AE112" i="21"/>
  <c r="AI112" i="21" s="1"/>
  <c r="AE122" i="21"/>
  <c r="AI122" i="21" s="1"/>
  <c r="AE104" i="21"/>
  <c r="AI104" i="21" s="1"/>
  <c r="AE107" i="21"/>
  <c r="AI107" i="21" s="1"/>
  <c r="AE131" i="21"/>
  <c r="AI131" i="21" s="1"/>
  <c r="AE120" i="21"/>
  <c r="AI120" i="21" s="1"/>
  <c r="AE118" i="21"/>
  <c r="AI118" i="21" s="1"/>
  <c r="AE109" i="21"/>
  <c r="AI109" i="21" s="1"/>
  <c r="AE119" i="21"/>
  <c r="AI119" i="21" s="1"/>
  <c r="AE91" i="21"/>
  <c r="AI91" i="21" s="1"/>
  <c r="AE130" i="21"/>
  <c r="AI130" i="21" s="1"/>
  <c r="AE88" i="21"/>
  <c r="AI88" i="21" s="1"/>
  <c r="AE83" i="21"/>
  <c r="AI83" i="21" s="1"/>
  <c r="AE66" i="21"/>
  <c r="AI66" i="21" s="1"/>
  <c r="AE84" i="21"/>
  <c r="AI84" i="21" s="1"/>
  <c r="AE78" i="21"/>
  <c r="AI78" i="21" s="1"/>
  <c r="AE129" i="21"/>
  <c r="AI129" i="21" s="1"/>
  <c r="AE89" i="21"/>
  <c r="AI89" i="21" s="1"/>
  <c r="AE72" i="21"/>
  <c r="AI72" i="21" s="1"/>
  <c r="AE65" i="21"/>
  <c r="AI65" i="21" s="1"/>
  <c r="AE71" i="21"/>
  <c r="AI71" i="21" s="1"/>
  <c r="AE128" i="21"/>
  <c r="AI128" i="21" s="1"/>
  <c r="AE82" i="21"/>
  <c r="AI82" i="21" s="1"/>
  <c r="AE70" i="21"/>
  <c r="AI70" i="21" s="1"/>
  <c r="AE127" i="21"/>
  <c r="AI127" i="21" s="1"/>
  <c r="AE73" i="21"/>
  <c r="AI73" i="21" s="1"/>
  <c r="AE126" i="21"/>
  <c r="AI126" i="21" s="1"/>
  <c r="AE133" i="21"/>
  <c r="AI133" i="21" s="1"/>
  <c r="AE68" i="21"/>
  <c r="AI68" i="21" s="1"/>
  <c r="AE132" i="21"/>
  <c r="AI132" i="21" s="1"/>
  <c r="AE85" i="21"/>
  <c r="AI85" i="21" s="1"/>
  <c r="AE69" i="21"/>
  <c r="AI69" i="21" s="1"/>
  <c r="AE67" i="21"/>
  <c r="AI67" i="21" s="1"/>
  <c r="AE124" i="21"/>
  <c r="AI124" i="21" s="1"/>
  <c r="AE125" i="21"/>
  <c r="AI125" i="21" s="1"/>
  <c r="AF38" i="21"/>
  <c r="AJ38" i="21" s="1"/>
  <c r="AF44" i="21"/>
  <c r="AJ44" i="21" s="1"/>
  <c r="AF46" i="21"/>
  <c r="AJ46" i="21" s="1"/>
  <c r="AF42" i="21"/>
  <c r="AJ42" i="21" s="1"/>
  <c r="AF40" i="21"/>
  <c r="AJ40" i="21" s="1"/>
  <c r="AF41" i="21"/>
  <c r="AJ41" i="21" s="1"/>
  <c r="AF43" i="21"/>
  <c r="AJ43" i="21" s="1"/>
  <c r="AF45" i="21"/>
  <c r="AJ45" i="21" s="1"/>
  <c r="AF39" i="21"/>
  <c r="AJ39" i="21" s="1"/>
  <c r="AG39" i="21"/>
  <c r="AK39" i="21" s="1"/>
  <c r="AG41" i="21"/>
  <c r="AK41" i="21" s="1"/>
  <c r="AG42" i="21"/>
  <c r="AK42" i="21" s="1"/>
  <c r="AG43" i="21"/>
  <c r="AK43" i="21" s="1"/>
  <c r="AG44" i="21"/>
  <c r="AK44" i="21" s="1"/>
  <c r="AG45" i="21"/>
  <c r="AK45" i="21" s="1"/>
  <c r="AG46" i="21"/>
  <c r="AK46" i="21" s="1"/>
  <c r="AG38" i="21"/>
  <c r="AK38" i="21" s="1"/>
  <c r="AG40" i="21"/>
  <c r="AK40" i="21" s="1"/>
  <c r="AF52" i="21"/>
  <c r="AJ52" i="21" s="1"/>
  <c r="AF54" i="21"/>
  <c r="AJ54" i="21" s="1"/>
  <c r="AF47" i="21"/>
  <c r="AJ47" i="21" s="1"/>
  <c r="AF48" i="21"/>
  <c r="AJ48" i="21" s="1"/>
  <c r="AF49" i="21"/>
  <c r="AJ49" i="21" s="1"/>
  <c r="AF50" i="21"/>
  <c r="AJ50" i="21" s="1"/>
  <c r="AF51" i="21"/>
  <c r="AJ51" i="21" s="1"/>
  <c r="AF53" i="21"/>
  <c r="AJ53" i="21" s="1"/>
  <c r="AF55" i="21"/>
  <c r="AJ55" i="21" s="1"/>
  <c r="AG49" i="21"/>
  <c r="AK49" i="21" s="1"/>
  <c r="AG50" i="21"/>
  <c r="AK50" i="21" s="1"/>
  <c r="AG55" i="21"/>
  <c r="AK55" i="21" s="1"/>
  <c r="AG48" i="21"/>
  <c r="AK48" i="21" s="1"/>
  <c r="AG52" i="21"/>
  <c r="AK52" i="21" s="1"/>
  <c r="AG54" i="21"/>
  <c r="AK54" i="21" s="1"/>
  <c r="AG51" i="21"/>
  <c r="AK51" i="21" s="1"/>
  <c r="AG53" i="21"/>
  <c r="AK53" i="21" s="1"/>
  <c r="AG47" i="21"/>
  <c r="AK47" i="21" s="1"/>
  <c r="AF10" i="21"/>
  <c r="AJ10" i="21" s="1"/>
  <c r="AF13" i="21"/>
  <c r="AJ13" i="21" s="1"/>
  <c r="AF8" i="21"/>
  <c r="AJ8" i="21" s="1"/>
  <c r="AF14" i="21"/>
  <c r="AJ14" i="21" s="1"/>
  <c r="AF9" i="21"/>
  <c r="AJ9" i="21" s="1"/>
  <c r="AF11" i="21"/>
  <c r="AJ11" i="21" s="1"/>
  <c r="AF12" i="21"/>
  <c r="AJ12" i="21" s="1"/>
  <c r="AF15" i="21"/>
  <c r="AJ15" i="21" s="1"/>
  <c r="AF18" i="21"/>
  <c r="AJ18" i="21" s="1"/>
  <c r="AF16" i="21"/>
  <c r="AJ16" i="21" s="1"/>
  <c r="AF17" i="21"/>
  <c r="AJ17" i="21" s="1"/>
  <c r="AF20" i="21"/>
  <c r="AJ20" i="21" s="1"/>
  <c r="AF23" i="21"/>
  <c r="AJ23" i="21" s="1"/>
  <c r="AF21" i="21"/>
  <c r="AJ21" i="21" s="1"/>
  <c r="AF19" i="21"/>
  <c r="AJ19" i="21" s="1"/>
  <c r="AF22" i="21"/>
  <c r="AJ22" i="21" s="1"/>
  <c r="AG8" i="21"/>
  <c r="AK8" i="21" s="1"/>
  <c r="AG12" i="21"/>
  <c r="AK12" i="21" s="1"/>
  <c r="AG17" i="21"/>
  <c r="AK17" i="21" s="1"/>
  <c r="AG20" i="21"/>
  <c r="AK20" i="21" s="1"/>
  <c r="AG9" i="21"/>
  <c r="AK9" i="21" s="1"/>
  <c r="AG10" i="21"/>
  <c r="AK10" i="21" s="1"/>
  <c r="AG11" i="21"/>
  <c r="AK11" i="21" s="1"/>
  <c r="AG13" i="21"/>
  <c r="AK13" i="21" s="1"/>
  <c r="AG16" i="21"/>
  <c r="AK16" i="21" s="1"/>
  <c r="AG18" i="21"/>
  <c r="AK18" i="21" s="1"/>
  <c r="AG14" i="21"/>
  <c r="AK14" i="21" s="1"/>
  <c r="AG15" i="21"/>
  <c r="AK15" i="21" s="1"/>
  <c r="AG19" i="21"/>
  <c r="AK19" i="21" s="1"/>
  <c r="AG21" i="21"/>
  <c r="AK21" i="21" s="1"/>
  <c r="AG22" i="21"/>
  <c r="AK22" i="21" s="1"/>
  <c r="AG23" i="21"/>
  <c r="AK23" i="21" s="1"/>
  <c r="AF27" i="21"/>
  <c r="AJ27" i="21" s="1"/>
  <c r="AF24" i="21"/>
  <c r="AJ24" i="21" s="1"/>
  <c r="AF26" i="21"/>
  <c r="AJ26" i="21" s="1"/>
  <c r="AF25" i="21"/>
  <c r="AJ25" i="21" s="1"/>
  <c r="AF31" i="21"/>
  <c r="AJ31" i="21" s="1"/>
  <c r="AF28" i="21"/>
  <c r="AJ28" i="21" s="1"/>
  <c r="AF30" i="21"/>
  <c r="AJ30" i="21" s="1"/>
  <c r="AF29" i="21"/>
  <c r="AJ29" i="21" s="1"/>
  <c r="AG25" i="21"/>
  <c r="AK25" i="21" s="1"/>
  <c r="AG27" i="21"/>
  <c r="AK27" i="21" s="1"/>
  <c r="AG31" i="21"/>
  <c r="AK31" i="21" s="1"/>
  <c r="AG24" i="21"/>
  <c r="AK24" i="21" s="1"/>
  <c r="AG29" i="21"/>
  <c r="AK29" i="21" s="1"/>
  <c r="AG30" i="21"/>
  <c r="AK30" i="21" s="1"/>
  <c r="AG26" i="21"/>
  <c r="AK26" i="21" s="1"/>
  <c r="AG28" i="21"/>
  <c r="AK28" i="21" s="1"/>
  <c r="AG32" i="21"/>
  <c r="AK32" i="21" s="1"/>
  <c r="AG33" i="21"/>
  <c r="AK33" i="21" s="1"/>
  <c r="AG34" i="21"/>
  <c r="AK34" i="21" s="1"/>
  <c r="AG35" i="21"/>
  <c r="AK35" i="21" s="1"/>
  <c r="AF34" i="21"/>
  <c r="AJ34" i="21" s="1"/>
  <c r="AF35" i="21"/>
  <c r="AJ35" i="21" s="1"/>
  <c r="AF32" i="21"/>
  <c r="AJ32" i="21" s="1"/>
  <c r="AF33" i="21"/>
  <c r="AJ33" i="21" s="1"/>
  <c r="AG37" i="21"/>
  <c r="AK37" i="21" s="1"/>
  <c r="AG36" i="21"/>
  <c r="AK36" i="21" s="1"/>
  <c r="AF37" i="21"/>
  <c r="AJ37" i="21" s="1"/>
  <c r="AF36" i="21"/>
  <c r="AJ36" i="21" s="1"/>
  <c r="AF57" i="21"/>
  <c r="AJ57" i="21" s="1"/>
  <c r="AF56" i="21"/>
  <c r="AJ56" i="21" s="1"/>
  <c r="AG57" i="21"/>
  <c r="AK57" i="21" s="1"/>
  <c r="AG56" i="21"/>
  <c r="AK56" i="21" s="1"/>
  <c r="AF59" i="21"/>
  <c r="AJ59" i="21" s="1"/>
  <c r="AF60" i="21"/>
  <c r="AJ60" i="21" s="1"/>
  <c r="AG59" i="21"/>
  <c r="AK59" i="21" s="1"/>
  <c r="AG60" i="21"/>
  <c r="AK60" i="21" s="1"/>
  <c r="AG58" i="21"/>
  <c r="AK58" i="21" s="1"/>
  <c r="AG61" i="21"/>
  <c r="AK61" i="21" s="1"/>
  <c r="AF61" i="21"/>
  <c r="AJ61" i="21" s="1"/>
  <c r="AF58" i="21"/>
  <c r="AJ58" i="21" s="1"/>
  <c r="AG63" i="21"/>
  <c r="AK63" i="21" s="1"/>
  <c r="AG62" i="21"/>
  <c r="AK62" i="21" s="1"/>
  <c r="AF63" i="21"/>
  <c r="AJ63" i="21" s="1"/>
  <c r="AF62" i="21"/>
  <c r="AJ62" i="21" s="1"/>
  <c r="AF81" i="21"/>
  <c r="AJ81" i="21" s="1"/>
  <c r="AF90" i="21"/>
  <c r="AJ90" i="21" s="1"/>
  <c r="AG81" i="21"/>
  <c r="AK81" i="21" s="1"/>
  <c r="AG90" i="21"/>
  <c r="AK90" i="21" s="1"/>
  <c r="AF75" i="21"/>
  <c r="AJ75" i="21" s="1"/>
  <c r="AF80" i="21"/>
  <c r="AJ80" i="21" s="1"/>
  <c r="AG75" i="21"/>
  <c r="AK75" i="21" s="1"/>
  <c r="AG80" i="21"/>
  <c r="AK80" i="21" s="1"/>
  <c r="AF74" i="21"/>
  <c r="AJ74" i="21" s="1"/>
  <c r="AF76" i="21"/>
  <c r="AJ76" i="21" s="1"/>
  <c r="AG74" i="21"/>
  <c r="AK74" i="21" s="1"/>
  <c r="AG76" i="21"/>
  <c r="AK76" i="21" s="1"/>
  <c r="AG79" i="21"/>
  <c r="AK79" i="21" s="1"/>
  <c r="AG77" i="21"/>
  <c r="AK77" i="21" s="1"/>
  <c r="AF79" i="21"/>
  <c r="AJ79" i="21" s="1"/>
  <c r="AF77" i="21"/>
  <c r="AJ77" i="21" s="1"/>
  <c r="AG95" i="21"/>
  <c r="AK95" i="21" s="1"/>
  <c r="AG64" i="21"/>
  <c r="AK64" i="21" s="1"/>
  <c r="AF95" i="21"/>
  <c r="AJ95" i="21" s="1"/>
  <c r="AF64" i="21"/>
  <c r="AJ64" i="21" s="1"/>
  <c r="AF114" i="21"/>
  <c r="AJ114" i="21" s="1"/>
  <c r="AF96" i="21"/>
  <c r="AJ96" i="21" s="1"/>
  <c r="AG114" i="21"/>
  <c r="AK114" i="21" s="1"/>
  <c r="AG96" i="21"/>
  <c r="AK96" i="21" s="1"/>
  <c r="AG116" i="21"/>
  <c r="AK116" i="21" s="1"/>
  <c r="AG115" i="21"/>
  <c r="AK115" i="21" s="1"/>
  <c r="AF116" i="21"/>
  <c r="AJ116" i="21" s="1"/>
  <c r="AF115" i="21"/>
  <c r="AJ115" i="21" s="1"/>
  <c r="AF117" i="21"/>
  <c r="AJ117" i="21" s="1"/>
  <c r="AG117" i="21"/>
  <c r="AK117" i="21" s="1"/>
  <c r="AF111" i="21"/>
  <c r="AJ111" i="21" s="1"/>
  <c r="AF112" i="21"/>
  <c r="AJ112" i="21" s="1"/>
  <c r="AG111" i="21"/>
  <c r="AK111" i="21" s="1"/>
  <c r="AG112" i="21"/>
  <c r="AK112" i="21" s="1"/>
  <c r="AF109" i="21"/>
  <c r="AJ109" i="21" s="1"/>
  <c r="AF108" i="21"/>
  <c r="AJ108" i="21" s="1"/>
  <c r="AG109" i="21"/>
  <c r="AK109" i="21" s="1"/>
  <c r="AG108" i="21"/>
  <c r="AK108" i="21" s="1"/>
  <c r="AG110" i="21"/>
  <c r="AK110" i="21" s="1"/>
  <c r="AG107" i="21"/>
  <c r="AK107" i="21" s="1"/>
  <c r="AF110" i="21"/>
  <c r="AJ110" i="21" s="1"/>
  <c r="AF107" i="21"/>
  <c r="AJ107" i="21" s="1"/>
  <c r="AF131" i="21"/>
  <c r="AJ131" i="21" s="1"/>
  <c r="AF113" i="21"/>
  <c r="AJ113" i="21" s="1"/>
  <c r="AG131" i="21"/>
  <c r="AK131" i="21" s="1"/>
  <c r="AG113" i="21"/>
  <c r="AK113" i="21" s="1"/>
  <c r="AF119" i="21"/>
  <c r="AJ119" i="21" s="1"/>
  <c r="AF118" i="21"/>
  <c r="AJ118" i="21" s="1"/>
  <c r="AG119" i="21"/>
  <c r="AK119" i="21" s="1"/>
  <c r="AG118" i="21"/>
  <c r="AK118" i="21" s="1"/>
  <c r="AG121" i="21"/>
  <c r="AK121" i="21" s="1"/>
  <c r="AG120" i="21"/>
  <c r="AK120" i="21" s="1"/>
  <c r="AF121" i="21"/>
  <c r="AJ121" i="21" s="1"/>
  <c r="AF120" i="21"/>
  <c r="AJ120" i="21" s="1"/>
  <c r="AG123" i="21"/>
  <c r="AK123" i="21" s="1"/>
  <c r="AG122" i="21"/>
  <c r="AK122" i="21" s="1"/>
  <c r="AF123" i="21"/>
  <c r="AJ123" i="21" s="1"/>
  <c r="AF122" i="21"/>
  <c r="AJ122" i="21" s="1"/>
  <c r="AF100" i="21"/>
  <c r="AJ100" i="21" s="1"/>
  <c r="AF105" i="21"/>
  <c r="AJ105" i="21" s="1"/>
  <c r="AG100" i="21"/>
  <c r="AK100" i="21" s="1"/>
  <c r="AG105" i="21"/>
  <c r="AK105" i="21" s="1"/>
  <c r="AF102" i="21"/>
  <c r="AJ102" i="21" s="1"/>
  <c r="AF101" i="21"/>
  <c r="AJ101" i="21" s="1"/>
  <c r="AG102" i="21"/>
  <c r="AK102" i="21" s="1"/>
  <c r="AG101" i="21"/>
  <c r="AK101" i="21" s="1"/>
  <c r="AF104" i="21"/>
  <c r="AJ104" i="21" s="1"/>
  <c r="AF103" i="21"/>
  <c r="AJ103" i="21" s="1"/>
  <c r="AG104" i="21"/>
  <c r="AK104" i="21" s="1"/>
  <c r="AG103" i="21"/>
  <c r="AK103" i="21" s="1"/>
  <c r="AG99" i="21"/>
  <c r="AK99" i="21" s="1"/>
  <c r="AG98" i="21"/>
  <c r="AK98" i="21" s="1"/>
  <c r="AF99" i="21"/>
  <c r="AJ99" i="21" s="1"/>
  <c r="AF98" i="21"/>
  <c r="AJ98" i="21" s="1"/>
  <c r="AF97" i="21"/>
  <c r="AJ97" i="21" s="1"/>
  <c r="AF106" i="21"/>
  <c r="AJ106" i="21" s="1"/>
  <c r="AG97" i="21"/>
  <c r="AK97" i="21" s="1"/>
  <c r="AG106" i="21"/>
  <c r="AK106" i="21" s="1"/>
  <c r="AF126" i="21"/>
  <c r="AJ126" i="21" s="1"/>
  <c r="AF125" i="21"/>
  <c r="AJ125" i="21" s="1"/>
  <c r="AF129" i="21"/>
  <c r="AJ129" i="21" s="1"/>
  <c r="AF69" i="21"/>
  <c r="AJ69" i="21" s="1"/>
  <c r="AF132" i="21"/>
  <c r="AJ132" i="21" s="1"/>
  <c r="AF68" i="21"/>
  <c r="AJ68" i="21" s="1"/>
  <c r="AF66" i="21"/>
  <c r="AJ66" i="21" s="1"/>
  <c r="AF133" i="21"/>
  <c r="AJ133" i="21" s="1"/>
  <c r="AF124" i="21"/>
  <c r="AJ124" i="21" s="1"/>
  <c r="AF84" i="21"/>
  <c r="AJ84" i="21" s="1"/>
  <c r="AF82" i="21"/>
  <c r="AJ82" i="21" s="1"/>
  <c r="AF71" i="21"/>
  <c r="AJ71" i="21" s="1"/>
  <c r="AF89" i="21"/>
  <c r="AJ89" i="21" s="1"/>
  <c r="AF127" i="21"/>
  <c r="AJ127" i="21" s="1"/>
  <c r="AF130" i="21"/>
  <c r="AJ130" i="21" s="1"/>
  <c r="AF128" i="21"/>
  <c r="AJ128" i="21" s="1"/>
  <c r="AF73" i="21"/>
  <c r="AJ73" i="21" s="1"/>
  <c r="AF67" i="21"/>
  <c r="AJ67" i="21" s="1"/>
  <c r="AF78" i="21"/>
  <c r="AJ78" i="21" s="1"/>
  <c r="AF72" i="21"/>
  <c r="AJ72" i="21" s="1"/>
  <c r="AF70" i="21"/>
  <c r="AJ70" i="21" s="1"/>
  <c r="AF85" i="21"/>
  <c r="AJ85" i="21" s="1"/>
  <c r="AF83" i="21"/>
  <c r="AJ83" i="21" s="1"/>
  <c r="AF91" i="21"/>
  <c r="AJ91" i="21" s="1"/>
  <c r="AF88" i="21"/>
  <c r="AJ88" i="21" s="1"/>
  <c r="AF65" i="21"/>
  <c r="AJ65" i="21" s="1"/>
  <c r="AG133" i="21"/>
  <c r="AK133" i="21" s="1"/>
  <c r="AG78" i="21"/>
  <c r="AK78" i="21" s="1"/>
  <c r="AG129" i="21"/>
  <c r="AK129" i="21" s="1"/>
  <c r="AG130" i="21"/>
  <c r="AK130" i="21" s="1"/>
  <c r="AG91" i="21"/>
  <c r="AK91" i="21" s="1"/>
  <c r="AG85" i="21"/>
  <c r="AK85" i="21" s="1"/>
  <c r="AG128" i="21"/>
  <c r="AK128" i="21" s="1"/>
  <c r="AG132" i="21"/>
  <c r="AK132" i="21" s="1"/>
  <c r="AG82" i="21"/>
  <c r="AK82" i="21" s="1"/>
  <c r="AG66" i="21"/>
  <c r="AK66" i="21" s="1"/>
  <c r="AG73" i="21"/>
  <c r="AK73" i="21" s="1"/>
  <c r="AG127" i="21"/>
  <c r="AK127" i="21" s="1"/>
  <c r="AG7" i="21"/>
  <c r="AK7" i="21" s="1"/>
  <c r="AN9" i="21" s="1"/>
  <c r="AG65" i="21"/>
  <c r="AK65" i="21" s="1"/>
  <c r="AG88" i="21"/>
  <c r="AK88" i="21" s="1"/>
  <c r="AF7" i="21"/>
  <c r="AJ7" i="21" s="1"/>
  <c r="AG72" i="21"/>
  <c r="AK72" i="21" s="1"/>
  <c r="AG67" i="21"/>
  <c r="AK67" i="21" s="1"/>
  <c r="AG71" i="21"/>
  <c r="AK71" i="21" s="1"/>
  <c r="AG70" i="21"/>
  <c r="AK70" i="21" s="1"/>
  <c r="AG126" i="21"/>
  <c r="AK126" i="21" s="1"/>
  <c r="AG124" i="21"/>
  <c r="AK124" i="21" s="1"/>
  <c r="AG84" i="21"/>
  <c r="AK84" i="21" s="1"/>
  <c r="AG68" i="21"/>
  <c r="AK68" i="21" s="1"/>
  <c r="AG69" i="21"/>
  <c r="AK69" i="21" s="1"/>
  <c r="AG125" i="21"/>
  <c r="AK125" i="21" s="1"/>
  <c r="AG83" i="21"/>
  <c r="AK83" i="21" s="1"/>
  <c r="AG89" i="21"/>
  <c r="AK89" i="21" s="1"/>
  <c r="BG9" i="22"/>
  <c r="BY7" i="22"/>
  <c r="BZ7" i="22" s="1"/>
  <c r="CA7" i="22" s="1"/>
  <c r="CB7" i="22" s="1"/>
  <c r="BY8" i="22"/>
  <c r="BZ8" i="22" s="1"/>
  <c r="CA8" i="22" s="1"/>
  <c r="CB8" i="22" s="1"/>
  <c r="BY9" i="22"/>
  <c r="BZ9" i="22" s="1"/>
  <c r="CA9" i="22" s="1"/>
  <c r="CB9" i="22" s="1"/>
  <c r="BY10" i="22"/>
  <c r="BZ10" i="22" s="1"/>
  <c r="CA10" i="22" s="1"/>
  <c r="CB10" i="22" s="1"/>
  <c r="BY11" i="22"/>
  <c r="BZ11" i="22" s="1"/>
  <c r="CA11" i="22" s="1"/>
  <c r="CB11" i="22" s="1"/>
  <c r="BY12" i="22"/>
  <c r="BZ12" i="22" s="1"/>
  <c r="CA12" i="22" s="1"/>
  <c r="CB12" i="22" s="1"/>
  <c r="BY13" i="22"/>
  <c r="BZ13" i="22" s="1"/>
  <c r="CA13" i="22" s="1"/>
  <c r="CB13" i="22" s="1"/>
  <c r="BY14" i="22"/>
  <c r="BZ14" i="22" s="1"/>
  <c r="CA14" i="22" s="1"/>
  <c r="CB14" i="22" s="1"/>
  <c r="BY15" i="22"/>
  <c r="BZ15" i="22" s="1"/>
  <c r="CA15" i="22" s="1"/>
  <c r="CB15" i="22" s="1"/>
  <c r="BY16" i="22"/>
  <c r="BZ16" i="22" s="1"/>
  <c r="CA16" i="22" s="1"/>
  <c r="CB16" i="22" s="1"/>
  <c r="BY17" i="22"/>
  <c r="BZ17" i="22" s="1"/>
  <c r="CA17" i="22" s="1"/>
  <c r="CB17" i="22" s="1"/>
  <c r="BY18" i="22"/>
  <c r="BZ18" i="22" s="1"/>
  <c r="CA18" i="22" s="1"/>
  <c r="CB18" i="22" s="1"/>
  <c r="BY19" i="22"/>
  <c r="BZ19" i="22" s="1"/>
  <c r="CA19" i="22" s="1"/>
  <c r="CB19" i="22" s="1"/>
  <c r="BY20" i="22"/>
  <c r="BZ20" i="22" s="1"/>
  <c r="CA20" i="22" s="1"/>
  <c r="CB20" i="22" s="1"/>
  <c r="BY21" i="22"/>
  <c r="BZ21" i="22" s="1"/>
  <c r="CA21" i="22" s="1"/>
  <c r="CB21" i="22" s="1"/>
  <c r="BY22" i="22"/>
  <c r="BZ22" i="22" s="1"/>
  <c r="CA22" i="22" s="1"/>
  <c r="CB22" i="22" s="1"/>
  <c r="BY23" i="22"/>
  <c r="BZ23" i="22" s="1"/>
  <c r="CA23" i="22" s="1"/>
  <c r="CB23" i="22" s="1"/>
  <c r="BY24" i="22"/>
  <c r="BZ24" i="22" s="1"/>
  <c r="CA24" i="22" s="1"/>
  <c r="CB24" i="22" s="1"/>
  <c r="BY25" i="22"/>
  <c r="BZ25" i="22" s="1"/>
  <c r="CA25" i="22" s="1"/>
  <c r="CB25" i="22" s="1"/>
  <c r="BY26" i="22"/>
  <c r="BZ26" i="22" s="1"/>
  <c r="CA26" i="22" s="1"/>
  <c r="CB26" i="22" s="1"/>
  <c r="BY27" i="22"/>
  <c r="BZ27" i="22" s="1"/>
  <c r="CA27" i="22" s="1"/>
  <c r="CB27" i="22" s="1"/>
  <c r="BY28" i="22"/>
  <c r="BZ28" i="22" s="1"/>
  <c r="CA28" i="22" s="1"/>
  <c r="CB28" i="22" s="1"/>
  <c r="BY29" i="22"/>
  <c r="BZ29" i="22" s="1"/>
  <c r="CA29" i="22" s="1"/>
  <c r="CB29" i="22" s="1"/>
  <c r="BY30" i="22"/>
  <c r="BZ30" i="22" s="1"/>
  <c r="CA30" i="22" s="1"/>
  <c r="CB30" i="22" s="1"/>
  <c r="BY32" i="22"/>
  <c r="BZ32" i="22" s="1"/>
  <c r="CA32" i="22" s="1"/>
  <c r="CB32" i="22" s="1"/>
  <c r="BY33" i="22"/>
  <c r="BZ33" i="22" s="1"/>
  <c r="CA33" i="22" s="1"/>
  <c r="CB33" i="22" s="1"/>
  <c r="BY34" i="22"/>
  <c r="BZ34" i="22" s="1"/>
  <c r="CA34" i="22" s="1"/>
  <c r="CB34" i="22" s="1"/>
  <c r="BY35" i="22"/>
  <c r="BZ35" i="22" s="1"/>
  <c r="CA35" i="22" s="1"/>
  <c r="CB35" i="22" s="1"/>
  <c r="BY36" i="22"/>
  <c r="BZ36" i="22" s="1"/>
  <c r="CA36" i="22" s="1"/>
  <c r="CB36" i="22" s="1"/>
  <c r="BY37" i="22"/>
  <c r="BZ37" i="22" s="1"/>
  <c r="CA37" i="22" s="1"/>
  <c r="CB37" i="22" s="1"/>
  <c r="BY38" i="22"/>
  <c r="BZ38" i="22" s="1"/>
  <c r="CA38" i="22" s="1"/>
  <c r="CB38" i="22" s="1"/>
  <c r="BY39" i="22"/>
  <c r="BZ39" i="22" s="1"/>
  <c r="CA39" i="22" s="1"/>
  <c r="CB39" i="22" s="1"/>
  <c r="BY40" i="22"/>
  <c r="BZ40" i="22" s="1"/>
  <c r="CA40" i="22" s="1"/>
  <c r="CB40" i="22" s="1"/>
  <c r="BY41" i="22"/>
  <c r="BZ41" i="22" s="1"/>
  <c r="CA41" i="22" s="1"/>
  <c r="CB41" i="22" s="1"/>
  <c r="BY42" i="22"/>
  <c r="BZ42" i="22" s="1"/>
  <c r="CA42" i="22" s="1"/>
  <c r="CB42" i="22" s="1"/>
  <c r="BY43" i="22"/>
  <c r="BZ43" i="22" s="1"/>
  <c r="CA43" i="22" s="1"/>
  <c r="CB43" i="22" s="1"/>
  <c r="BY45" i="22"/>
  <c r="BZ45" i="22" s="1"/>
  <c r="CA45" i="22" s="1"/>
  <c r="CB45" i="22" s="1"/>
  <c r="BY46" i="22"/>
  <c r="BZ46" i="22" s="1"/>
  <c r="CA46" i="22" s="1"/>
  <c r="CB46" i="22" s="1"/>
  <c r="BY47" i="22"/>
  <c r="BZ47" i="22" s="1"/>
  <c r="CA47" i="22" s="1"/>
  <c r="CB47" i="22" s="1"/>
  <c r="BY48" i="22"/>
  <c r="BZ48" i="22" s="1"/>
  <c r="CA48" i="22" s="1"/>
  <c r="CB48" i="22" s="1"/>
  <c r="BY49" i="22"/>
  <c r="BZ49" i="22" s="1"/>
  <c r="CA49" i="22" s="1"/>
  <c r="CB49" i="22" s="1"/>
  <c r="BY51" i="22"/>
  <c r="BZ51" i="22" s="1"/>
  <c r="CA51" i="22" s="1"/>
  <c r="CB51" i="22" s="1"/>
  <c r="BY53" i="22"/>
  <c r="BZ53" i="22" s="1"/>
  <c r="CA53" i="22" s="1"/>
  <c r="CB53" i="22" s="1"/>
  <c r="BY54" i="22"/>
  <c r="BZ54" i="22" s="1"/>
  <c r="CA54" i="22" s="1"/>
  <c r="CB54" i="22" s="1"/>
  <c r="BY59" i="22"/>
  <c r="BZ59" i="22" s="1"/>
  <c r="CA59" i="22" s="1"/>
  <c r="CB59" i="22" s="1"/>
  <c r="BY60" i="22"/>
  <c r="BZ60" i="22" s="1"/>
  <c r="CA60" i="22" s="1"/>
  <c r="CB60" i="22" s="1"/>
  <c r="BY61" i="22"/>
  <c r="BZ61" i="22" s="1"/>
  <c r="CA61" i="22" s="1"/>
  <c r="CB61" i="22" s="1"/>
  <c r="BY62" i="22"/>
  <c r="BZ62" i="22" s="1"/>
  <c r="CA62" i="22" s="1"/>
  <c r="CB62" i="22" s="1"/>
  <c r="BY63" i="22"/>
  <c r="BZ63" i="22" s="1"/>
  <c r="CA63" i="22" s="1"/>
  <c r="CB63" i="22" s="1"/>
  <c r="BY64" i="22"/>
  <c r="BZ64" i="22" s="1"/>
  <c r="CA64" i="22" s="1"/>
  <c r="CB64" i="22" s="1"/>
  <c r="BY65" i="22"/>
  <c r="BZ65" i="22" s="1"/>
  <c r="CA65" i="22" s="1"/>
  <c r="CB65" i="22" s="1"/>
  <c r="BY66" i="22"/>
  <c r="BZ66" i="22" s="1"/>
  <c r="CA66" i="22" s="1"/>
  <c r="CB66" i="22" s="1"/>
  <c r="BY67" i="22"/>
  <c r="BZ67" i="22" s="1"/>
  <c r="CA67" i="22" s="1"/>
  <c r="CB67" i="22" s="1"/>
  <c r="BY68" i="22"/>
  <c r="BZ68" i="22" s="1"/>
  <c r="CA68" i="22" s="1"/>
  <c r="CB68" i="22" s="1"/>
  <c r="BY69" i="22"/>
  <c r="BZ69" i="22" s="1"/>
  <c r="CA69" i="22" s="1"/>
  <c r="CB69" i="22" s="1"/>
  <c r="BY70" i="22"/>
  <c r="BZ70" i="22" s="1"/>
  <c r="CA70" i="22" s="1"/>
  <c r="CB70" i="22" s="1"/>
  <c r="BY71" i="22"/>
  <c r="BZ71" i="22" s="1"/>
  <c r="CA71" i="22" s="1"/>
  <c r="CB71" i="22" s="1"/>
  <c r="BY72" i="22"/>
  <c r="BZ72" i="22" s="1"/>
  <c r="CA72" i="22" s="1"/>
  <c r="CB72" i="22" s="1"/>
  <c r="BY73" i="22"/>
  <c r="BZ73" i="22" s="1"/>
  <c r="CA73" i="22" s="1"/>
  <c r="CB73" i="22" s="1"/>
  <c r="BY74" i="22"/>
  <c r="BZ74" i="22" s="1"/>
  <c r="CA74" i="22" s="1"/>
  <c r="CB74" i="22" s="1"/>
  <c r="BY75" i="22"/>
  <c r="BZ75" i="22" s="1"/>
  <c r="CA75" i="22" s="1"/>
  <c r="CB75" i="22" s="1"/>
  <c r="BY76" i="22"/>
  <c r="BZ76" i="22" s="1"/>
  <c r="CA76" i="22" s="1"/>
  <c r="CB76" i="22" s="1"/>
  <c r="BY77" i="22"/>
  <c r="BZ77" i="22" s="1"/>
  <c r="CA77" i="22" s="1"/>
  <c r="CB77" i="22" s="1"/>
  <c r="BY78" i="22"/>
  <c r="BZ78" i="22" s="1"/>
  <c r="CA78" i="22" s="1"/>
  <c r="CB78" i="22" s="1"/>
  <c r="BY79" i="22"/>
  <c r="BZ79" i="22" s="1"/>
  <c r="CA79" i="22" s="1"/>
  <c r="CB79" i="22" s="1"/>
  <c r="BY80" i="22"/>
  <c r="BZ80" i="22" s="1"/>
  <c r="CA80" i="22" s="1"/>
  <c r="CB80" i="22" s="1"/>
  <c r="BY81" i="22"/>
  <c r="BZ81" i="22" s="1"/>
  <c r="CA81" i="22" s="1"/>
  <c r="CB81" i="22" s="1"/>
  <c r="BY82" i="22"/>
  <c r="BZ82" i="22" s="1"/>
  <c r="CA82" i="22" s="1"/>
  <c r="CB82" i="22" s="1"/>
  <c r="BY83" i="22"/>
  <c r="BZ83" i="22" s="1"/>
  <c r="CA83" i="22" s="1"/>
  <c r="CB83" i="22" s="1"/>
  <c r="BY84" i="22"/>
  <c r="BZ84" i="22" s="1"/>
  <c r="CA84" i="22" s="1"/>
  <c r="CB84" i="22" s="1"/>
  <c r="BY85" i="22"/>
  <c r="BZ85" i="22" s="1"/>
  <c r="CA85" i="22" s="1"/>
  <c r="CB85" i="22" s="1"/>
  <c r="BY86" i="22"/>
  <c r="BZ86" i="22" s="1"/>
  <c r="CA86" i="22" s="1"/>
  <c r="CB86" i="22" s="1"/>
  <c r="BY87" i="22"/>
  <c r="BZ87" i="22" s="1"/>
  <c r="CA87" i="22" s="1"/>
  <c r="CB87" i="22" s="1"/>
  <c r="BY88" i="22"/>
  <c r="BZ88" i="22" s="1"/>
  <c r="CA88" i="22" s="1"/>
  <c r="CB88" i="22" s="1"/>
  <c r="BY89" i="22"/>
  <c r="BZ89" i="22" s="1"/>
  <c r="CA89" i="22" s="1"/>
  <c r="CB89" i="22" s="1"/>
  <c r="BY90" i="22"/>
  <c r="BZ90" i="22" s="1"/>
  <c r="CA90" i="22" s="1"/>
  <c r="CB90" i="22" s="1"/>
  <c r="BY91" i="22"/>
  <c r="BZ91" i="22" s="1"/>
  <c r="CA91" i="22" s="1"/>
  <c r="CB91" i="22" s="1"/>
  <c r="BY92" i="22"/>
  <c r="BZ92" i="22" s="1"/>
  <c r="CA92" i="22" s="1"/>
  <c r="CB92" i="22" s="1"/>
  <c r="BY93" i="22"/>
  <c r="BZ93" i="22" s="1"/>
  <c r="CA93" i="22" s="1"/>
  <c r="CB93" i="22" s="1"/>
  <c r="BY94" i="22"/>
  <c r="BZ94" i="22" s="1"/>
  <c r="CA94" i="22" s="1"/>
  <c r="CB94" i="22" s="1"/>
  <c r="BY95" i="22"/>
  <c r="BZ95" i="22" s="1"/>
  <c r="CA95" i="22" s="1"/>
  <c r="CB95" i="22" s="1"/>
  <c r="BY96" i="22"/>
  <c r="BZ96" i="22" s="1"/>
  <c r="CA96" i="22" s="1"/>
  <c r="CB96" i="22" s="1"/>
  <c r="BY97" i="22"/>
  <c r="BZ97" i="22" s="1"/>
  <c r="CA97" i="22" s="1"/>
  <c r="CB97" i="22" s="1"/>
  <c r="BY98" i="22"/>
  <c r="BZ98" i="22" s="1"/>
  <c r="CA98" i="22" s="1"/>
  <c r="CB98" i="22" s="1"/>
  <c r="BY99" i="22"/>
  <c r="BZ99" i="22" s="1"/>
  <c r="CA99" i="22" s="1"/>
  <c r="CB99" i="22" s="1"/>
  <c r="BY100" i="22"/>
  <c r="BZ100" i="22" s="1"/>
  <c r="CA100" i="22" s="1"/>
  <c r="CB100" i="22" s="1"/>
  <c r="BY101" i="22"/>
  <c r="BZ101" i="22" s="1"/>
  <c r="CA101" i="22" s="1"/>
  <c r="CB101" i="22" s="1"/>
  <c r="BY102" i="22"/>
  <c r="BZ102" i="22" s="1"/>
  <c r="CA102" i="22" s="1"/>
  <c r="CB102" i="22" s="1"/>
  <c r="BY103" i="22"/>
  <c r="BZ103" i="22" s="1"/>
  <c r="CA103" i="22" s="1"/>
  <c r="CB103" i="22" s="1"/>
  <c r="BY104" i="22"/>
  <c r="BZ104" i="22" s="1"/>
  <c r="CA104" i="22" s="1"/>
  <c r="CB104" i="22" s="1"/>
  <c r="BY105" i="22"/>
  <c r="BZ105" i="22" s="1"/>
  <c r="CA105" i="22" s="1"/>
  <c r="CB105" i="22" s="1"/>
  <c r="BY106" i="22"/>
  <c r="BZ106" i="22" s="1"/>
  <c r="CA106" i="22" s="1"/>
  <c r="CB106" i="22" s="1"/>
  <c r="BY107" i="22"/>
  <c r="BZ107" i="22" s="1"/>
  <c r="CA107" i="22" s="1"/>
  <c r="CB107" i="22" s="1"/>
  <c r="BY108" i="22"/>
  <c r="BZ108" i="22" s="1"/>
  <c r="CA108" i="22" s="1"/>
  <c r="CB108" i="22" s="1"/>
  <c r="BY109" i="22"/>
  <c r="BZ109" i="22" s="1"/>
  <c r="CA109" i="22" s="1"/>
  <c r="CB109" i="22" s="1"/>
  <c r="BY111" i="22"/>
  <c r="BZ111" i="22" s="1"/>
  <c r="CA111" i="22" s="1"/>
  <c r="CB111" i="22" s="1"/>
  <c r="BT7" i="22"/>
  <c r="BT8" i="22"/>
  <c r="BU8" i="22" s="1"/>
  <c r="BV8" i="22" s="1"/>
  <c r="BW8" i="22" s="1"/>
  <c r="BT9" i="22"/>
  <c r="BU9" i="22" s="1"/>
  <c r="BV9" i="22" s="1"/>
  <c r="BW9" i="22" s="1"/>
  <c r="BT10" i="22"/>
  <c r="BU10" i="22" s="1"/>
  <c r="BV10" i="22" s="1"/>
  <c r="BW10" i="22" s="1"/>
  <c r="BT11" i="22"/>
  <c r="BU11" i="22" s="1"/>
  <c r="BV11" i="22" s="1"/>
  <c r="BW11" i="22" s="1"/>
  <c r="BT12" i="22"/>
  <c r="BU12" i="22" s="1"/>
  <c r="BV12" i="22" s="1"/>
  <c r="BW12" i="22" s="1"/>
  <c r="BT13" i="22"/>
  <c r="BU13" i="22" s="1"/>
  <c r="BV13" i="22" s="1"/>
  <c r="BW13" i="22" s="1"/>
  <c r="BT14" i="22"/>
  <c r="BU14" i="22" s="1"/>
  <c r="BV14" i="22" s="1"/>
  <c r="BW14" i="22" s="1"/>
  <c r="BT15" i="22"/>
  <c r="BU15" i="22" s="1"/>
  <c r="BV15" i="22" s="1"/>
  <c r="BW15" i="22" s="1"/>
  <c r="BT16" i="22"/>
  <c r="BU16" i="22" s="1"/>
  <c r="BV16" i="22" s="1"/>
  <c r="BW16" i="22" s="1"/>
  <c r="BT17" i="22"/>
  <c r="BU17" i="22" s="1"/>
  <c r="BV17" i="22" s="1"/>
  <c r="BW17" i="22" s="1"/>
  <c r="BT18" i="22"/>
  <c r="BU18" i="22" s="1"/>
  <c r="BV18" i="22" s="1"/>
  <c r="BW18" i="22" s="1"/>
  <c r="BT19" i="22"/>
  <c r="BU19" i="22" s="1"/>
  <c r="BV19" i="22" s="1"/>
  <c r="BW19" i="22" s="1"/>
  <c r="BT20" i="22"/>
  <c r="BU20" i="22" s="1"/>
  <c r="BV20" i="22" s="1"/>
  <c r="BW20" i="22" s="1"/>
  <c r="BT21" i="22"/>
  <c r="BU21" i="22" s="1"/>
  <c r="BV21" i="22" s="1"/>
  <c r="BW21" i="22" s="1"/>
  <c r="BT22" i="22"/>
  <c r="BU22" i="22" s="1"/>
  <c r="BV22" i="22" s="1"/>
  <c r="BW22" i="22" s="1"/>
  <c r="BT23" i="22"/>
  <c r="BU23" i="22" s="1"/>
  <c r="BV23" i="22" s="1"/>
  <c r="BW23" i="22" s="1"/>
  <c r="BT24" i="22"/>
  <c r="BU24" i="22" s="1"/>
  <c r="BV24" i="22" s="1"/>
  <c r="BW24" i="22" s="1"/>
  <c r="BT25" i="22"/>
  <c r="BU25" i="22" s="1"/>
  <c r="BV25" i="22" s="1"/>
  <c r="BW25" i="22" s="1"/>
  <c r="BT26" i="22"/>
  <c r="BU26" i="22" s="1"/>
  <c r="BV26" i="22" s="1"/>
  <c r="BW26" i="22" s="1"/>
  <c r="BT27" i="22"/>
  <c r="BU27" i="22" s="1"/>
  <c r="BV27" i="22" s="1"/>
  <c r="BW27" i="22" s="1"/>
  <c r="BT28" i="22"/>
  <c r="BU28" i="22" s="1"/>
  <c r="BV28" i="22" s="1"/>
  <c r="BW28" i="22" s="1"/>
  <c r="BT29" i="22"/>
  <c r="BU29" i="22" s="1"/>
  <c r="BV29" i="22" s="1"/>
  <c r="BW29" i="22" s="1"/>
  <c r="BT30" i="22"/>
  <c r="BU30" i="22" s="1"/>
  <c r="BV30" i="22" s="1"/>
  <c r="BW30" i="22" s="1"/>
  <c r="BT32" i="22"/>
  <c r="BU32" i="22" s="1"/>
  <c r="BV32" i="22" s="1"/>
  <c r="BW32" i="22" s="1"/>
  <c r="BT33" i="22"/>
  <c r="BU33" i="22" s="1"/>
  <c r="BV33" i="22" s="1"/>
  <c r="BW33" i="22" s="1"/>
  <c r="BT34" i="22"/>
  <c r="BU34" i="22" s="1"/>
  <c r="BV34" i="22" s="1"/>
  <c r="BW34" i="22" s="1"/>
  <c r="BT35" i="22"/>
  <c r="BU35" i="22" s="1"/>
  <c r="BV35" i="22" s="1"/>
  <c r="BW35" i="22" s="1"/>
  <c r="BT36" i="22"/>
  <c r="BU36" i="22" s="1"/>
  <c r="BV36" i="22" s="1"/>
  <c r="BW36" i="22" s="1"/>
  <c r="BT37" i="22"/>
  <c r="BU37" i="22" s="1"/>
  <c r="BV37" i="22" s="1"/>
  <c r="BW37" i="22" s="1"/>
  <c r="BT38" i="22"/>
  <c r="BU38" i="22" s="1"/>
  <c r="BV38" i="22" s="1"/>
  <c r="BW38" i="22" s="1"/>
  <c r="BT39" i="22"/>
  <c r="BU39" i="22" s="1"/>
  <c r="BV39" i="22" s="1"/>
  <c r="BW39" i="22" s="1"/>
  <c r="BT40" i="22"/>
  <c r="BU40" i="22" s="1"/>
  <c r="BV40" i="22" s="1"/>
  <c r="BW40" i="22" s="1"/>
  <c r="BT41" i="22"/>
  <c r="BU41" i="22" s="1"/>
  <c r="BV41" i="22" s="1"/>
  <c r="BW41" i="22" s="1"/>
  <c r="BT42" i="22"/>
  <c r="BU42" i="22" s="1"/>
  <c r="BV42" i="22" s="1"/>
  <c r="BW42" i="22" s="1"/>
  <c r="BT43" i="22"/>
  <c r="BU43" i="22" s="1"/>
  <c r="BV43" i="22" s="1"/>
  <c r="BW43" i="22" s="1"/>
  <c r="BT45" i="22"/>
  <c r="BU45" i="22" s="1"/>
  <c r="BV45" i="22" s="1"/>
  <c r="BW45" i="22" s="1"/>
  <c r="BT46" i="22"/>
  <c r="BU46" i="22" s="1"/>
  <c r="BV46" i="22" s="1"/>
  <c r="BW46" i="22" s="1"/>
  <c r="BT47" i="22"/>
  <c r="BU47" i="22" s="1"/>
  <c r="BV47" i="22" s="1"/>
  <c r="BW47" i="22" s="1"/>
  <c r="BT48" i="22"/>
  <c r="BU48" i="22" s="1"/>
  <c r="BV48" i="22" s="1"/>
  <c r="BW48" i="22" s="1"/>
  <c r="BT49" i="22"/>
  <c r="BU49" i="22" s="1"/>
  <c r="BV49" i="22" s="1"/>
  <c r="BW49" i="22" s="1"/>
  <c r="BT51" i="22"/>
  <c r="BU51" i="22" s="1"/>
  <c r="BV51" i="22" s="1"/>
  <c r="BW51" i="22" s="1"/>
  <c r="BT53" i="22"/>
  <c r="BU53" i="22" s="1"/>
  <c r="BV53" i="22" s="1"/>
  <c r="BW53" i="22" s="1"/>
  <c r="BT54" i="22"/>
  <c r="BU54" i="22" s="1"/>
  <c r="BV54" i="22" s="1"/>
  <c r="BW54" i="22" s="1"/>
  <c r="BT59" i="22"/>
  <c r="BU59" i="22" s="1"/>
  <c r="BV59" i="22" s="1"/>
  <c r="BW59" i="22" s="1"/>
  <c r="BT60" i="22"/>
  <c r="BU60" i="22" s="1"/>
  <c r="BV60" i="22" s="1"/>
  <c r="BW60" i="22" s="1"/>
  <c r="BT61" i="22"/>
  <c r="BU61" i="22" s="1"/>
  <c r="BV61" i="22" s="1"/>
  <c r="BW61" i="22" s="1"/>
  <c r="BT62" i="22"/>
  <c r="BU62" i="22" s="1"/>
  <c r="BV62" i="22" s="1"/>
  <c r="BW62" i="22" s="1"/>
  <c r="BT63" i="22"/>
  <c r="BU63" i="22" s="1"/>
  <c r="BV63" i="22" s="1"/>
  <c r="BW63" i="22" s="1"/>
  <c r="BT64" i="22"/>
  <c r="BU64" i="22" s="1"/>
  <c r="BV64" i="22" s="1"/>
  <c r="BW64" i="22" s="1"/>
  <c r="BT65" i="22"/>
  <c r="BU65" i="22" s="1"/>
  <c r="BV65" i="22" s="1"/>
  <c r="BW65" i="22" s="1"/>
  <c r="BT66" i="22"/>
  <c r="BU66" i="22" s="1"/>
  <c r="BV66" i="22" s="1"/>
  <c r="BW66" i="22" s="1"/>
  <c r="BT67" i="22"/>
  <c r="BU67" i="22" s="1"/>
  <c r="BV67" i="22" s="1"/>
  <c r="BW67" i="22" s="1"/>
  <c r="BT68" i="22"/>
  <c r="BU68" i="22" s="1"/>
  <c r="BV68" i="22" s="1"/>
  <c r="BW68" i="22" s="1"/>
  <c r="BT69" i="22"/>
  <c r="BU69" i="22" s="1"/>
  <c r="BV69" i="22" s="1"/>
  <c r="BW69" i="22" s="1"/>
  <c r="BT70" i="22"/>
  <c r="BU70" i="22" s="1"/>
  <c r="BV70" i="22" s="1"/>
  <c r="BW70" i="22" s="1"/>
  <c r="BT71" i="22"/>
  <c r="BU71" i="22" s="1"/>
  <c r="BV71" i="22" s="1"/>
  <c r="BW71" i="22" s="1"/>
  <c r="BT72" i="22"/>
  <c r="BU72" i="22" s="1"/>
  <c r="BV72" i="22" s="1"/>
  <c r="BW72" i="22" s="1"/>
  <c r="BT73" i="22"/>
  <c r="BU73" i="22" s="1"/>
  <c r="BV73" i="22" s="1"/>
  <c r="BW73" i="22" s="1"/>
  <c r="BT74" i="22"/>
  <c r="BU74" i="22" s="1"/>
  <c r="BV74" i="22" s="1"/>
  <c r="BW74" i="22" s="1"/>
  <c r="BT75" i="22"/>
  <c r="BU75" i="22" s="1"/>
  <c r="BV75" i="22" s="1"/>
  <c r="BW75" i="22" s="1"/>
  <c r="BT76" i="22"/>
  <c r="BU76" i="22" s="1"/>
  <c r="BV76" i="22" s="1"/>
  <c r="BW76" i="22" s="1"/>
  <c r="BT77" i="22"/>
  <c r="BU77" i="22" s="1"/>
  <c r="BV77" i="22" s="1"/>
  <c r="BW77" i="22" s="1"/>
  <c r="BT78" i="22"/>
  <c r="BU78" i="22" s="1"/>
  <c r="BV78" i="22" s="1"/>
  <c r="BW78" i="22" s="1"/>
  <c r="BT79" i="22"/>
  <c r="BU79" i="22" s="1"/>
  <c r="BV79" i="22" s="1"/>
  <c r="BW79" i="22" s="1"/>
  <c r="BT80" i="22"/>
  <c r="BU80" i="22" s="1"/>
  <c r="BV80" i="22" s="1"/>
  <c r="BW80" i="22" s="1"/>
  <c r="BT81" i="22"/>
  <c r="BU81" i="22" s="1"/>
  <c r="BV81" i="22" s="1"/>
  <c r="BW81" i="22" s="1"/>
  <c r="BT82" i="22"/>
  <c r="BU82" i="22" s="1"/>
  <c r="BV82" i="22" s="1"/>
  <c r="BW82" i="22" s="1"/>
  <c r="BT83" i="22"/>
  <c r="BU83" i="22" s="1"/>
  <c r="BV83" i="22" s="1"/>
  <c r="BW83" i="22" s="1"/>
  <c r="BT84" i="22"/>
  <c r="BU84" i="22" s="1"/>
  <c r="BV84" i="22" s="1"/>
  <c r="BW84" i="22" s="1"/>
  <c r="BT85" i="22"/>
  <c r="BU85" i="22" s="1"/>
  <c r="BV85" i="22" s="1"/>
  <c r="BW85" i="22" s="1"/>
  <c r="BT86" i="22"/>
  <c r="BU86" i="22" s="1"/>
  <c r="BV86" i="22" s="1"/>
  <c r="BW86" i="22" s="1"/>
  <c r="BT87" i="22"/>
  <c r="BU87" i="22" s="1"/>
  <c r="BV87" i="22" s="1"/>
  <c r="BW87" i="22" s="1"/>
  <c r="BT88" i="22"/>
  <c r="BU88" i="22" s="1"/>
  <c r="BV88" i="22" s="1"/>
  <c r="BW88" i="22" s="1"/>
  <c r="BT89" i="22"/>
  <c r="BU89" i="22" s="1"/>
  <c r="BV89" i="22" s="1"/>
  <c r="BW89" i="22" s="1"/>
  <c r="BT90" i="22"/>
  <c r="BU90" i="22" s="1"/>
  <c r="BV90" i="22" s="1"/>
  <c r="BW90" i="22" s="1"/>
  <c r="BT91" i="22"/>
  <c r="BU91" i="22" s="1"/>
  <c r="BV91" i="22" s="1"/>
  <c r="BW91" i="22" s="1"/>
  <c r="BT92" i="22"/>
  <c r="BU92" i="22" s="1"/>
  <c r="BV92" i="22" s="1"/>
  <c r="BW92" i="22" s="1"/>
  <c r="BT93" i="22"/>
  <c r="BU93" i="22" s="1"/>
  <c r="BV93" i="22" s="1"/>
  <c r="BW93" i="22" s="1"/>
  <c r="BT94" i="22"/>
  <c r="BU94" i="22" s="1"/>
  <c r="BV94" i="22" s="1"/>
  <c r="BW94" i="22" s="1"/>
  <c r="BT95" i="22"/>
  <c r="BU95" i="22" s="1"/>
  <c r="BV95" i="22" s="1"/>
  <c r="BW95" i="22" s="1"/>
  <c r="BT96" i="22"/>
  <c r="BU96" i="22" s="1"/>
  <c r="BV96" i="22" s="1"/>
  <c r="BW96" i="22" s="1"/>
  <c r="BT97" i="22"/>
  <c r="BU97" i="22" s="1"/>
  <c r="BV97" i="22" s="1"/>
  <c r="BW97" i="22" s="1"/>
  <c r="BT98" i="22"/>
  <c r="BU98" i="22" s="1"/>
  <c r="BV98" i="22" s="1"/>
  <c r="BW98" i="22" s="1"/>
  <c r="BT99" i="22"/>
  <c r="BU99" i="22" s="1"/>
  <c r="BV99" i="22" s="1"/>
  <c r="BW99" i="22" s="1"/>
  <c r="BT100" i="22"/>
  <c r="BU100" i="22" s="1"/>
  <c r="BV100" i="22" s="1"/>
  <c r="BW100" i="22" s="1"/>
  <c r="BT101" i="22"/>
  <c r="BU101" i="22" s="1"/>
  <c r="BV101" i="22" s="1"/>
  <c r="BW101" i="22" s="1"/>
  <c r="BT102" i="22"/>
  <c r="BU102" i="22" s="1"/>
  <c r="BV102" i="22" s="1"/>
  <c r="BW102" i="22" s="1"/>
  <c r="BT103" i="22"/>
  <c r="BU103" i="22" s="1"/>
  <c r="BV103" i="22" s="1"/>
  <c r="BW103" i="22" s="1"/>
  <c r="BT104" i="22"/>
  <c r="BU104" i="22" s="1"/>
  <c r="BV104" i="22" s="1"/>
  <c r="BW104" i="22" s="1"/>
  <c r="BT105" i="22"/>
  <c r="BU105" i="22" s="1"/>
  <c r="BV105" i="22" s="1"/>
  <c r="BW105" i="22" s="1"/>
  <c r="BT106" i="22"/>
  <c r="BU106" i="22" s="1"/>
  <c r="BV106" i="22" s="1"/>
  <c r="BW106" i="22" s="1"/>
  <c r="BT107" i="22"/>
  <c r="BU107" i="22" s="1"/>
  <c r="BV107" i="22" s="1"/>
  <c r="BW107" i="22" s="1"/>
  <c r="BT108" i="22"/>
  <c r="BU108" i="22" s="1"/>
  <c r="BV108" i="22" s="1"/>
  <c r="BW108" i="22" s="1"/>
  <c r="BT109" i="22"/>
  <c r="BU109" i="22" s="1"/>
  <c r="BV109" i="22" s="1"/>
  <c r="BW109" i="22" s="1"/>
  <c r="BT111" i="22"/>
  <c r="BU111" i="22" s="1"/>
  <c r="BV111" i="22" s="1"/>
  <c r="BW111" i="22" s="1"/>
  <c r="BM11" i="22"/>
  <c r="BM12" i="22" l="1"/>
  <c r="BM13" i="22" s="1"/>
  <c r="N6" i="22" s="1"/>
  <c r="BU7" i="22"/>
  <c r="BV7" i="22" s="1"/>
  <c r="BW7" i="22" s="1"/>
  <c r="BM14" i="22" l="1"/>
  <c r="BJ10" i="22"/>
  <c r="BM15" i="22" l="1"/>
  <c r="BM16" i="22" s="1"/>
  <c r="BM17" i="22" s="1"/>
  <c r="BM18" i="22" s="1"/>
  <c r="BO10" i="22"/>
  <c r="BG21" i="22"/>
  <c r="BJ11" i="22"/>
  <c r="BG24" i="22" s="1"/>
  <c r="BJ9" i="22"/>
  <c r="BG22" i="22" s="1"/>
  <c r="BI22" i="22"/>
  <c r="BJ32" i="22" s="1"/>
  <c r="BJ30" i="22"/>
  <c r="BR9" i="22" l="1"/>
  <c r="BR10" i="22" s="1" a="1"/>
  <c r="BR10" i="22" s="1"/>
  <c r="BJ22" i="22"/>
  <c r="BJ21" i="22"/>
  <c r="BG23" i="22" s="1"/>
  <c r="K19" i="22" l="1"/>
  <c r="K27" i="22" s="1"/>
  <c r="K20" i="22"/>
  <c r="BM19" i="22"/>
  <c r="BM42" i="22" s="1"/>
  <c r="BO11" i="22"/>
  <c r="BO12" i="22" s="1"/>
  <c r="K17" i="22"/>
  <c r="BG25" i="22"/>
  <c r="E35" i="22"/>
  <c r="E36" i="22"/>
  <c r="I36" i="22" s="1"/>
  <c r="E37" i="22"/>
  <c r="I37" i="22" s="1"/>
  <c r="E38" i="22"/>
  <c r="BJ43" i="22" l="1"/>
  <c r="BJ45" i="22" s="1"/>
  <c r="BG16" i="22"/>
  <c r="BJ53" i="22"/>
  <c r="BJ54" i="22"/>
  <c r="BJ59" i="22"/>
  <c r="BJ60" i="22"/>
  <c r="BJ51" i="22"/>
  <c r="BJ66" i="22"/>
  <c r="BJ76" i="22"/>
  <c r="K22" i="22"/>
  <c r="K18" i="22"/>
  <c r="BG18" i="22" s="1"/>
  <c r="BG19" i="22" s="1"/>
  <c r="BG14" i="22"/>
  <c r="BG15" i="22"/>
  <c r="BH15" i="22" s="1"/>
  <c r="BG13" i="22"/>
  <c r="BH13" i="22" s="1"/>
  <c r="BG12" i="22"/>
  <c r="BH12" i="22" s="1"/>
  <c r="BM21" i="22"/>
  <c r="BM22" i="22" s="1"/>
  <c r="BM23" i="22" s="1"/>
  <c r="BM37" i="22"/>
  <c r="BM38" i="22" s="1"/>
  <c r="BM20" i="22"/>
  <c r="K43" i="22" s="1"/>
  <c r="BM26" i="22"/>
  <c r="BM27" i="22" s="1"/>
  <c r="BM28" i="22" s="1"/>
  <c r="BM32" i="22"/>
  <c r="BM33" i="22" s="1"/>
  <c r="BM34" i="22" s="1"/>
  <c r="I40" i="22"/>
  <c r="BO13" i="22"/>
  <c r="BO14" i="22" s="1"/>
  <c r="BM43" i="22"/>
  <c r="BJ42" i="22" l="1"/>
  <c r="BJ47" i="22" s="1"/>
  <c r="BJ63" i="22" s="1"/>
  <c r="BJ73" i="22" s="1"/>
  <c r="BJ67" i="22"/>
  <c r="BJ77" i="22" s="1"/>
  <c r="BJ70" i="22"/>
  <c r="BJ68" i="22"/>
  <c r="BJ69" i="22"/>
  <c r="BJ48" i="22"/>
  <c r="BJ64" i="22" s="1"/>
  <c r="BJ74" i="22" s="1"/>
  <c r="BJ78" i="22"/>
  <c r="BJ80" i="22" s="1"/>
  <c r="E70" i="22" s="1"/>
  <c r="BG10" i="22"/>
  <c r="BH10" i="22" s="1"/>
  <c r="BM24" i="22"/>
  <c r="I43" i="22"/>
  <c r="BM35" i="22"/>
  <c r="BJ14" i="22" s="1"/>
  <c r="K24" i="22" s="1"/>
  <c r="BM39" i="22"/>
  <c r="BM40" i="22" s="1"/>
  <c r="BM29" i="22"/>
  <c r="BJ15" i="22" s="1"/>
  <c r="BM45" i="22"/>
  <c r="BM46" i="22" s="1"/>
  <c r="BJ61" i="22" l="1"/>
  <c r="BJ71" i="22" s="1"/>
  <c r="BJ62" i="22"/>
  <c r="BJ72" i="22" s="1"/>
  <c r="BJ13" i="22"/>
  <c r="BJ17" i="22" s="1"/>
  <c r="BJ79" i="22"/>
  <c r="BJ81" i="22" s="1"/>
  <c r="E71" i="22" s="1"/>
  <c r="K23" i="22"/>
  <c r="BJ18" i="22" l="1"/>
  <c r="G32" i="22"/>
  <c r="H67" i="22" s="1"/>
  <c r="BJ16" i="22"/>
  <c r="H68" i="22" l="1"/>
  <c r="I32" i="22"/>
  <c r="K32" i="22"/>
  <c r="I39" i="22" s="1"/>
  <c r="BJ19" i="22"/>
  <c r="G39" i="22"/>
  <c r="G38" i="22"/>
  <c r="G37" i="22"/>
  <c r="K37" i="22" s="1"/>
  <c r="G36" i="22"/>
  <c r="K36" i="22" s="1"/>
  <c r="G35" i="22"/>
  <c r="H72" i="22" l="1"/>
  <c r="H69" i="22"/>
  <c r="H70" i="22"/>
  <c r="H71" i="22"/>
  <c r="C69" i="22"/>
  <c r="C68" i="22"/>
  <c r="K38" i="22"/>
  <c r="C70" i="22" s="1"/>
  <c r="L70" i="22" s="1"/>
  <c r="K39" i="22"/>
  <c r="K34" i="22"/>
  <c r="C66" i="22" s="1"/>
  <c r="I34" i="22"/>
  <c r="I38" i="22"/>
  <c r="I35" i="22"/>
  <c r="K35" i="22"/>
  <c r="K40" i="22"/>
  <c r="L66" i="22" l="1"/>
  <c r="C71" i="22"/>
  <c r="L71" i="22" s="1"/>
  <c r="M49" i="22"/>
  <c r="O49" i="22" s="1"/>
  <c r="C67" i="22"/>
  <c r="L67" i="22" s="1"/>
  <c r="L68" i="22"/>
  <c r="L69" i="22"/>
  <c r="I49" i="22"/>
  <c r="N39" i="22"/>
  <c r="E83" i="22" l="1"/>
  <c r="F83" i="22" s="1"/>
  <c r="E80" i="22"/>
  <c r="F80" i="22" s="1"/>
  <c r="J80" i="22" s="1"/>
  <c r="E77" i="22"/>
  <c r="G77" i="22" s="1"/>
  <c r="H77" i="22" s="1"/>
  <c r="L77" i="22" s="1"/>
  <c r="J83" i="22" l="1"/>
  <c r="H83" i="22"/>
  <c r="L83" i="22" s="1"/>
  <c r="H80" i="22"/>
  <c r="L80" i="22" s="1"/>
  <c r="E76" i="22"/>
  <c r="F76" i="22" s="1"/>
  <c r="J76" i="22" s="1"/>
  <c r="J77" i="22"/>
  <c r="BH16" i="22"/>
  <c r="BH14" i="22"/>
  <c r="H76" i="22" l="1"/>
  <c r="L76" i="22" s="1"/>
  <c r="BJ24" i="22"/>
  <c r="K26" i="22" s="1"/>
  <c r="BJ25" i="22"/>
  <c r="K25" i="22" s="1"/>
  <c r="K42" i="22" l="1"/>
  <c r="G41" i="22"/>
  <c r="M48" i="22" l="1"/>
  <c r="O48" i="22" s="1"/>
  <c r="I48" i="22"/>
  <c r="K48" i="22" s="1"/>
  <c r="I42" i="22"/>
  <c r="E48" i="22" s="1"/>
  <c r="G48" i="22" s="1"/>
  <c r="E41" i="22"/>
  <c r="I41" i="22" s="1"/>
  <c r="K41" i="22"/>
  <c r="C72" i="22" s="1"/>
  <c r="L72" i="22" s="1"/>
  <c r="E49" i="22"/>
  <c r="G49" i="22" s="1"/>
  <c r="K49" i="22"/>
  <c r="E81" i="22" l="1"/>
  <c r="F81" i="22" s="1"/>
  <c r="E82" i="22"/>
  <c r="F82" i="22" s="1"/>
  <c r="I46" i="22"/>
  <c r="M47" i="22"/>
  <c r="O47" i="22" s="1"/>
  <c r="M46" i="22"/>
  <c r="O46" i="22" s="1"/>
  <c r="E78" i="22"/>
  <c r="E79" i="22"/>
  <c r="I47" i="22"/>
  <c r="K47" i="22" s="1"/>
  <c r="E46" i="22"/>
  <c r="O21" i="22" s="1"/>
  <c r="J82" i="22" l="1"/>
  <c r="H82" i="22"/>
  <c r="L82" i="22" s="1"/>
  <c r="H81" i="22"/>
  <c r="L81" i="22" s="1"/>
  <c r="J81" i="22"/>
  <c r="E75" i="22"/>
  <c r="F75" i="22" s="1"/>
  <c r="F79" i="22"/>
  <c r="E74" i="22"/>
  <c r="F78" i="22"/>
  <c r="O56" i="22"/>
  <c r="G46" i="22"/>
  <c r="O20" i="22" s="1"/>
  <c r="K46" i="22"/>
  <c r="O22" i="22" s="1"/>
  <c r="O23" i="22"/>
  <c r="E47" i="22"/>
  <c r="G47" i="22" s="1"/>
  <c r="J78" i="22" l="1"/>
  <c r="H78" i="22"/>
  <c r="L78" i="22" s="1"/>
  <c r="O53" i="22"/>
  <c r="F74" i="22"/>
  <c r="J79" i="22"/>
  <c r="H79" i="22"/>
  <c r="L79" i="22" s="1"/>
  <c r="H75" i="22"/>
  <c r="L75" i="22" s="1"/>
  <c r="J75" i="22"/>
  <c r="O57" i="22"/>
  <c r="H74" i="22" l="1"/>
  <c r="L74" i="22" s="1"/>
  <c r="J74" i="22"/>
  <c r="O58" i="22"/>
  <c r="O54" i="22"/>
  <c r="O55" i="22" l="1"/>
</calcChain>
</file>

<file path=xl/sharedStrings.xml><?xml version="1.0" encoding="utf-8"?>
<sst xmlns="http://schemas.openxmlformats.org/spreadsheetml/2006/main" count="963" uniqueCount="539">
  <si>
    <t>Specifications</t>
  </si>
  <si>
    <t>INL</t>
  </si>
  <si>
    <t>INL Drift</t>
  </si>
  <si>
    <t>Worksheets</t>
  </si>
  <si>
    <t>Description</t>
  </si>
  <si>
    <t>Information about this tool</t>
  </si>
  <si>
    <t>Help</t>
  </si>
  <si>
    <t>Documentation and supporting links</t>
  </si>
  <si>
    <t>Table of Contents</t>
  </si>
  <si>
    <t>#</t>
  </si>
  <si>
    <t>Link:</t>
  </si>
  <si>
    <t>AMC1302:</t>
  </si>
  <si>
    <t>Document Description</t>
  </si>
  <si>
    <t>AMC1300</t>
  </si>
  <si>
    <t>AMC1301</t>
  </si>
  <si>
    <t>AMC1302</t>
  </si>
  <si>
    <t>AMC1301-Q1</t>
  </si>
  <si>
    <t>Part</t>
  </si>
  <si>
    <t>User Inputs</t>
  </si>
  <si>
    <t>Input Resistor (R4)</t>
  </si>
  <si>
    <t>Error Results</t>
  </si>
  <si>
    <t>Gain Error Max</t>
  </si>
  <si>
    <t>Gain Error Typ</t>
  </si>
  <si>
    <t>Typical Spec</t>
  </si>
  <si>
    <t>Maximum Spec</t>
  </si>
  <si>
    <t>Gain Drift Typ</t>
  </si>
  <si>
    <t>Gain Drift Max</t>
  </si>
  <si>
    <t>Offset Error Typ</t>
  </si>
  <si>
    <t>Offset Drift Max</t>
  </si>
  <si>
    <t>INL Typ</t>
  </si>
  <si>
    <t>Offset Error Max</t>
  </si>
  <si>
    <t>Offset Drift Typ</t>
  </si>
  <si>
    <t>INL Max</t>
  </si>
  <si>
    <t>INL Drift Typ</t>
  </si>
  <si>
    <t>INL Drift Max</t>
  </si>
  <si>
    <t>Single-Ended Input Resistance</t>
  </si>
  <si>
    <t>Bias Current</t>
  </si>
  <si>
    <t>±Input Voltage Range</t>
  </si>
  <si>
    <t>Power Dissipation Across Voltage Divider</t>
  </si>
  <si>
    <r>
      <rPr>
        <b/>
        <sz val="11"/>
        <color theme="1"/>
        <rFont val="Calibri"/>
        <family val="2"/>
      </rPr>
      <t>±</t>
    </r>
    <r>
      <rPr>
        <b/>
        <sz val="11"/>
        <color theme="1"/>
        <rFont val="Calibri"/>
        <family val="2"/>
        <scheme val="minor"/>
      </rPr>
      <t xml:space="preserve">Input Voltage Range by Datasheet Specification = </t>
    </r>
  </si>
  <si>
    <t>R2 Resistance</t>
  </si>
  <si>
    <t>R1 Resistance</t>
  </si>
  <si>
    <t>Legend</t>
  </si>
  <si>
    <t>Input =</t>
  </si>
  <si>
    <t>AMC1311</t>
  </si>
  <si>
    <t>AMC1311-Q1</t>
  </si>
  <si>
    <t>AMC3301</t>
  </si>
  <si>
    <t>Device Comparison</t>
  </si>
  <si>
    <t>AMC1301-Q1:</t>
  </si>
  <si>
    <t>AMC3301:</t>
  </si>
  <si>
    <t>Input Type</t>
  </si>
  <si>
    <t>Differential</t>
  </si>
  <si>
    <t>Single-Ended</t>
  </si>
  <si>
    <t>Select Configuration</t>
  </si>
  <si>
    <t>Select Device</t>
  </si>
  <si>
    <t>Configuration</t>
  </si>
  <si>
    <t>Differential without R3'</t>
  </si>
  <si>
    <t>Differential with R3'</t>
  </si>
  <si>
    <t>Image</t>
  </si>
  <si>
    <t>[Select Configuration]</t>
  </si>
  <si>
    <t>[Select Device]</t>
  </si>
  <si>
    <t>AMC1300-Q1</t>
  </si>
  <si>
    <t>Row Num</t>
  </si>
  <si>
    <t>Row Sel D</t>
  </si>
  <si>
    <t>Row Sel SE</t>
  </si>
  <si>
    <t>Sel D</t>
  </si>
  <si>
    <t>Sel SE</t>
  </si>
  <si>
    <t>Device_List_D</t>
  </si>
  <si>
    <t>Device_List_SE</t>
  </si>
  <si>
    <t>Device_List_N</t>
  </si>
  <si>
    <t>Sel N</t>
  </si>
  <si>
    <t>Row Sel N</t>
  </si>
  <si>
    <t>AMC1301S</t>
  </si>
  <si>
    <t>AMC1300B</t>
  </si>
  <si>
    <t>AMC1311B</t>
  </si>
  <si>
    <t>AMC1311B-Q1</t>
  </si>
  <si>
    <t>ISO224B</t>
  </si>
  <si>
    <t>ISO224A</t>
  </si>
  <si>
    <t>AMC1300/B:</t>
  </si>
  <si>
    <t>AMC1301/S:</t>
  </si>
  <si>
    <t>AMC1311/B:</t>
  </si>
  <si>
    <t>AMC1311/B-Q1:</t>
  </si>
  <si>
    <t>ISO224A/B:</t>
  </si>
  <si>
    <r>
      <t xml:space="preserve">Please select a configuration in the </t>
    </r>
    <r>
      <rPr>
        <b/>
        <sz val="36"/>
        <color theme="1"/>
        <rFont val="Calibri"/>
        <family val="2"/>
        <scheme val="minor"/>
      </rPr>
      <t>User Inputs</t>
    </r>
    <r>
      <rPr>
        <sz val="36"/>
        <color theme="1"/>
        <rFont val="Calibri"/>
        <family val="2"/>
        <scheme val="minor"/>
      </rPr>
      <t xml:space="preserve"> before proceeding.</t>
    </r>
  </si>
  <si>
    <t>Temp Min</t>
  </si>
  <si>
    <t>Temp Max</t>
  </si>
  <si>
    <t>kideal</t>
  </si>
  <si>
    <t>Peak High Voltage</t>
  </si>
  <si>
    <t>Rule Check &gt;0</t>
  </si>
  <si>
    <t>Rin_min</t>
  </si>
  <si>
    <t>Rin_max</t>
  </si>
  <si>
    <t>Rin_nom</t>
  </si>
  <si>
    <t>kreal_max</t>
  </si>
  <si>
    <t>kreal_min</t>
  </si>
  <si>
    <t>Vin_FS_nominal</t>
  </si>
  <si>
    <t>GE_nom</t>
  </si>
  <si>
    <t>Vin_FS_min</t>
  </si>
  <si>
    <t>Vin_FS_max</t>
  </si>
  <si>
    <t>GE_maxRin</t>
  </si>
  <si>
    <t>GE_minRin</t>
  </si>
  <si>
    <t xml:space="preserve">Gain Error Rin Variation </t>
  </si>
  <si>
    <t>Gain Error Rin Variation Drift</t>
  </si>
  <si>
    <t>kral_min+drift</t>
  </si>
  <si>
    <t>Vin_FS_n_Drift</t>
  </si>
  <si>
    <t>Minimum Differential Voltage over Temperature</t>
  </si>
  <si>
    <t>kreal_max+drift</t>
  </si>
  <si>
    <t>Vin_FS_m_Drift</t>
  </si>
  <si>
    <t>Maximum Differential Voltage over Temperature</t>
  </si>
  <si>
    <t>Differential Input Resistance</t>
  </si>
  <si>
    <t>AMC1302-Q1</t>
  </si>
  <si>
    <t>Gain</t>
  </si>
  <si>
    <t xml:space="preserve">All error terms are output referred. </t>
  </si>
  <si>
    <t>Comments</t>
  </si>
  <si>
    <t>Rdiv Current</t>
  </si>
  <si>
    <t>AMC Input Current</t>
  </si>
  <si>
    <t>Applied Full-Scale Voltage, R3</t>
  </si>
  <si>
    <t>N/A</t>
  </si>
  <si>
    <t>Offset error &amp; Offset drift multiplied by non-ideal gain</t>
  </si>
  <si>
    <t>Scaled</t>
  </si>
  <si>
    <t>R</t>
  </si>
  <si>
    <t>parallel combo</t>
  </si>
  <si>
    <t>voltage</t>
  </si>
  <si>
    <t>Rdiv SE current</t>
  </si>
  <si>
    <t>New FS input</t>
  </si>
  <si>
    <t>Ideal R3 Resistance</t>
  </si>
  <si>
    <t>Ideal R3' Resistance</t>
  </si>
  <si>
    <t>With R3'</t>
  </si>
  <si>
    <t>Kideal</t>
  </si>
  <si>
    <t>Output V</t>
  </si>
  <si>
    <t>R2</t>
  </si>
  <si>
    <t>R3</t>
  </si>
  <si>
    <t>R4</t>
  </si>
  <si>
    <t>R5</t>
  </si>
  <si>
    <t>R6</t>
  </si>
  <si>
    <t>R7</t>
  </si>
  <si>
    <t>R8</t>
  </si>
  <si>
    <t>R9</t>
  </si>
  <si>
    <t>R10</t>
  </si>
  <si>
    <t>CTRL+SHIFT+ENTER</t>
  </si>
  <si>
    <t>Find Resistor</t>
  </si>
  <si>
    <t>0</t>
  </si>
  <si>
    <t>Min</t>
  </si>
  <si>
    <t>Max</t>
  </si>
  <si>
    <t>max + drift</t>
  </si>
  <si>
    <t>min + drift</t>
  </si>
  <si>
    <t>SE_min</t>
  </si>
  <si>
    <t>SE_nom</t>
  </si>
  <si>
    <t>SE_Max</t>
  </si>
  <si>
    <t>Min+drift</t>
  </si>
  <si>
    <t>Max + drift</t>
  </si>
  <si>
    <t>kreal_nom</t>
  </si>
  <si>
    <t>2. Reference the product datasheet, found at the URLs below, for information about the particular device.</t>
  </si>
  <si>
    <t>3. Go to the Table of Contents for tool descriptions and links to specific worksheets.</t>
  </si>
  <si>
    <t>4.Use the "Legend" on each worksheet for guidance. The required inputs and calculated results typically follow the convention below:</t>
  </si>
  <si>
    <t xml:space="preserve">Getting Started with this tool? </t>
  </si>
  <si>
    <t>1. Please see this document that helps explain voltage sensing with low input impedance devices and the importance of R3':</t>
  </si>
  <si>
    <t>RinDiff Drift over Temp</t>
  </si>
  <si>
    <t>RinDiff Tolerance</t>
  </si>
  <si>
    <t>RinSE Tolerance &amp; Drift</t>
  </si>
  <si>
    <t>Rfilt scaling (Vdrop,Rfilt)</t>
  </si>
  <si>
    <t>Attenuation Ratio</t>
  </si>
  <si>
    <t>Max Error</t>
  </si>
  <si>
    <t>Currents</t>
  </si>
  <si>
    <t>Input Voltage Calculations</t>
  </si>
  <si>
    <t>SE &amp; Wout R3'</t>
  </si>
  <si>
    <t>Value</t>
  </si>
  <si>
    <t>Result</t>
  </si>
  <si>
    <t>1. User enters:</t>
  </si>
  <si>
    <t>1. R3 value only gain</t>
  </si>
  <si>
    <t>1. Corresponding offset</t>
  </si>
  <si>
    <t>2. New desired Vin</t>
  </si>
  <si>
    <t>2. New R3 only gain</t>
  </si>
  <si>
    <t>2.New offset</t>
  </si>
  <si>
    <t>3. New desired Vin</t>
  </si>
  <si>
    <t>3. New R3 only gain</t>
  </si>
  <si>
    <t>4. Standard Resistor</t>
  </si>
  <si>
    <t>4. R3 Offset voltage</t>
  </si>
  <si>
    <t>No R3' 5 step estimation</t>
  </si>
  <si>
    <t>4. R3 || RinDiff</t>
  </si>
  <si>
    <t>4. Rdiv SE current</t>
  </si>
  <si>
    <t>4. Voltage only gain</t>
  </si>
  <si>
    <t>5. Vin; Vog+R3Offset</t>
  </si>
  <si>
    <t>Closest value</t>
  </si>
  <si>
    <t>R3 Calculation</t>
  </si>
  <si>
    <t>Gain Error</t>
  </si>
  <si>
    <t>Gain Drift</t>
  </si>
  <si>
    <t>Offset Error</t>
  </si>
  <si>
    <t>Offset Drift</t>
  </si>
  <si>
    <t>Mixed Error</t>
  </si>
  <si>
    <t>Input Bias Current Error</t>
  </si>
  <si>
    <t>Vin check</t>
  </si>
  <si>
    <t xml:space="preserve">Warning = </t>
  </si>
  <si>
    <t>Error =</t>
  </si>
  <si>
    <t>R3 Standard 1% Resistor</t>
  </si>
  <si>
    <t>R3' Standard 1% Resistor</t>
  </si>
  <si>
    <t>RC Filter Resistance, RF</t>
  </si>
  <si>
    <t>RC Filter Resistance, CF</t>
  </si>
  <si>
    <t>RC Filter Cutoff Frequency</t>
  </si>
  <si>
    <t>krealideal</t>
  </si>
  <si>
    <t>Maximum +FS Differential Input Voltage</t>
  </si>
  <si>
    <t>Minimum +FS Differential Input Voltage</t>
  </si>
  <si>
    <t>AMC1211-Q1</t>
  </si>
  <si>
    <t>AMC3301-Q1</t>
  </si>
  <si>
    <t>AMC3330-Q1</t>
  </si>
  <si>
    <t>AMC3302</t>
  </si>
  <si>
    <t>AMC1300B-Q1</t>
  </si>
  <si>
    <t>Voltage Sensing Calculator</t>
  </si>
  <si>
    <r>
      <rPr>
        <u/>
        <sz val="10"/>
        <rFont val="Arial"/>
        <family val="2"/>
      </rPr>
      <t xml:space="preserve">For any futher assistance on this tool, please post your question in the following forum - </t>
    </r>
    <r>
      <rPr>
        <b/>
        <u/>
        <sz val="10"/>
        <color theme="10"/>
        <rFont val="Arial"/>
        <family val="2"/>
      </rPr>
      <t>E2E Precision Data Converters Forum</t>
    </r>
  </si>
  <si>
    <t>License</t>
  </si>
  <si>
    <t>Calculates a series of error values using an isolation amplifier for a voltage sense circuit in various configurations</t>
  </si>
  <si>
    <t>Compares the datasheet specifications of isolation amplifiers that can be used for voltage sensing</t>
  </si>
  <si>
    <t>This document provides estimates of the errors associated with using isolation amplifier devices in a voltage sensing configuration.</t>
  </si>
  <si>
    <t>Note: if no maximum specification is given in the datasheet, the maximum value is estimated at 3x the typical value. If no typical is given, the typical value is estimated at 1/3x the maximum.</t>
  </si>
  <si>
    <t>AMC3330</t>
  </si>
  <si>
    <t>AMC3302-Q1</t>
  </si>
  <si>
    <t>AMC1202</t>
  </si>
  <si>
    <t>AMC1411</t>
  </si>
  <si>
    <t>AMC1400</t>
  </si>
  <si>
    <t>AMC1350</t>
  </si>
  <si>
    <t>AMC1351</t>
  </si>
  <si>
    <t>Device</t>
  </si>
  <si>
    <t>Sensing Application</t>
  </si>
  <si>
    <t>± Input voltage range</t>
  </si>
  <si>
    <t>Isolation Rating</t>
  </si>
  <si>
    <t>Integrated DC/DC</t>
  </si>
  <si>
    <t>14mm Package</t>
  </si>
  <si>
    <t>Datasheet:</t>
  </si>
  <si>
    <t>AMC3302:</t>
  </si>
  <si>
    <t>Current</t>
  </si>
  <si>
    <t>± 50mV</t>
  </si>
  <si>
    <t>Reinforced</t>
  </si>
  <si>
    <t>YES</t>
  </si>
  <si>
    <t>http://www.ti.com/lit/gpn/AMC3302</t>
  </si>
  <si>
    <t>AMC3302-Q1:</t>
  </si>
  <si>
    <t>http://www.ti.com/lit/gpn/AMC3302-Q1</t>
  </si>
  <si>
    <t>http://www.ti.com/lit/gpn/AMC1302</t>
  </si>
  <si>
    <t>AMC1302-Q1:</t>
  </si>
  <si>
    <t>http://www.ti.com/lit/gpn/AMC1302-Q1</t>
  </si>
  <si>
    <t>Basic</t>
  </si>
  <si>
    <t>http://www.ti.com/lit/gpn/AMC1202</t>
  </si>
  <si>
    <t>± 250mV</t>
  </si>
  <si>
    <t>http://www.ti.com/lit/gpn/AMC3301</t>
  </si>
  <si>
    <t>AMC3301-Q1:</t>
  </si>
  <si>
    <t>http://www.ti.com/lit/gpn/AMC3301-Q1</t>
  </si>
  <si>
    <t>http://www.ti.com/lit/gpn/AMC1300</t>
  </si>
  <si>
    <t>AMC1300B-Q1:</t>
  </si>
  <si>
    <t>http://www.ti.com/lit/gpn/AMC1300B-Q1</t>
  </si>
  <si>
    <t>AMC1400:</t>
  </si>
  <si>
    <t>http://www.ti.com/lit/gpn/AMC1400</t>
  </si>
  <si>
    <t>http://www.ti.com/lit/gpn/AMC1301</t>
  </si>
  <si>
    <t>http://www.ti.com/lit/gpn/AMC1301-Q1</t>
  </si>
  <si>
    <t>AMC3330:</t>
  </si>
  <si>
    <t>Voltage</t>
  </si>
  <si>
    <t>± 1V</t>
  </si>
  <si>
    <t>http://www.ti.com/lit/gpn/AMC3330</t>
  </si>
  <si>
    <t>AMC3330-Q1:</t>
  </si>
  <si>
    <t>http://www.ti.com/lit/gpn/AMC3330-Q1</t>
  </si>
  <si>
    <t>± 5V</t>
  </si>
  <si>
    <t>http://www.ti.com/lit/gpn/AMC1350</t>
  </si>
  <si>
    <t>± 12V</t>
  </si>
  <si>
    <t>http://www.ti.com/lit/gpn/ISO224</t>
  </si>
  <si>
    <t>0 - 5V</t>
  </si>
  <si>
    <t>http://www.ti.com/lit/gpn/AMC1351</t>
  </si>
  <si>
    <t>0 - 2V</t>
  </si>
  <si>
    <t>http://www.ti.com/lit/gpn/AMC1311</t>
  </si>
  <si>
    <t>http://www.ti.com/lit/gpn/AMC1311-Q1</t>
  </si>
  <si>
    <t>AMC1411:</t>
  </si>
  <si>
    <t>http://www.ti.com/lit/gpn/AMC1411</t>
  </si>
  <si>
    <t>Automotive</t>
  </si>
  <si>
    <t>Ambient Temperature Min</t>
  </si>
  <si>
    <t>Ambient Temperature Max</t>
  </si>
  <si>
    <t>1+2+3 (RSS)</t>
  </si>
  <si>
    <t xml:space="preserve"> Gain</t>
  </si>
  <si>
    <t>OPA Input Offset</t>
  </si>
  <si>
    <t>Output of AMC</t>
  </si>
  <si>
    <t>OPA Offset Drift</t>
  </si>
  <si>
    <t>OPA Rf/Rg Tolerance</t>
  </si>
  <si>
    <t>Output of OPAMP</t>
  </si>
  <si>
    <t>Rf</t>
  </si>
  <si>
    <t>Rg</t>
  </si>
  <si>
    <t>Error %FSR</t>
  </si>
  <si>
    <t>Worst-Case Total Error</t>
  </si>
  <si>
    <t>Worst-Case Total Error after offset calibration</t>
  </si>
  <si>
    <t>Worst-Case Total Error after offset and 2-point gain calibration</t>
  </si>
  <si>
    <t>Worst-Case Total Error after offset and 2-point gain calibration over temperature</t>
  </si>
  <si>
    <t>Typical Total Error after offset calibration</t>
  </si>
  <si>
    <t>Typical Total Error after offset and 2-point gain calibration</t>
  </si>
  <si>
    <t>Resistor Divider Tolerance</t>
  </si>
  <si>
    <t>Resistor Divider Drift</t>
  </si>
  <si>
    <t>V Error @Input</t>
  </si>
  <si>
    <t>Rdiv_min</t>
  </si>
  <si>
    <t>Rdiv_nom</t>
  </si>
  <si>
    <t>Rdiv_max</t>
  </si>
  <si>
    <t>Sense Resistor Tolerance</t>
  </si>
  <si>
    <t>Sense Resistor Drift</t>
  </si>
  <si>
    <t>Rsense_min</t>
  </si>
  <si>
    <t>Rsense_nom</t>
  </si>
  <si>
    <t>Rsense_max</t>
  </si>
  <si>
    <t>External Resistor Tolerance</t>
  </si>
  <si>
    <t>+External Resistor Drift</t>
  </si>
  <si>
    <t>+Sense Resistor Drift</t>
  </si>
  <si>
    <t xml:space="preserve">Typical Total Error </t>
  </si>
  <si>
    <t>Voltages</t>
  </si>
  <si>
    <t>Vin_FS_Rdiv_min</t>
  </si>
  <si>
    <t>Vin_FS_Rdiv_max</t>
  </si>
  <si>
    <t>Vin_FS_Rdiv_min+drift</t>
  </si>
  <si>
    <t>Vin_FS_Rdiv_max+drift</t>
  </si>
  <si>
    <t>Vin_FS_Rsense_min</t>
  </si>
  <si>
    <t>Vin_FS_Rsense_max</t>
  </si>
  <si>
    <t>Vin_FS_Rsense_min+drift</t>
  </si>
  <si>
    <t>Vin_FS_Rsense_max+drift</t>
  </si>
  <si>
    <t>Errors</t>
  </si>
  <si>
    <t>Rdiv min + Rsense max Error</t>
  </si>
  <si>
    <t>Vin_FS</t>
  </si>
  <si>
    <t>Vin_FS_drift</t>
  </si>
  <si>
    <t>GE_Rdiv_min</t>
  </si>
  <si>
    <t>GE_Rdiv_max</t>
  </si>
  <si>
    <t>GE+T_Rdiv_min+drift</t>
  </si>
  <si>
    <t>GE+T_Rdiv_max+drift</t>
  </si>
  <si>
    <t>GE_FS_Rsense_min</t>
  </si>
  <si>
    <t>GE_Rsense_max</t>
  </si>
  <si>
    <t>GE+T_Rsense_min+drift</t>
  </si>
  <si>
    <t>GE+T_Rsense_max+drift</t>
  </si>
  <si>
    <t>GE</t>
  </si>
  <si>
    <t>GE+T</t>
  </si>
  <si>
    <t>Mixed Error + GE+T_Rin + Ib</t>
  </si>
  <si>
    <t>AMC Rin drift specified at 10ppm/C</t>
  </si>
  <si>
    <t>Error due to variation in Rin; +/-15% assumed if not specified</t>
  </si>
  <si>
    <t>Resistor Divider Current (uA)</t>
  </si>
  <si>
    <t>Diode leakage Error</t>
  </si>
  <si>
    <t>Diode leakage Error = 30nA * 0.1% Tolerance mismatch of 300kOhm Resistors</t>
  </si>
  <si>
    <t>Maximum Error (mV)</t>
  </si>
  <si>
    <t>Typical Error (mV)</t>
  </si>
  <si>
    <t>Total Error</t>
  </si>
  <si>
    <t>Total Error after offset cal</t>
  </si>
  <si>
    <t>Total Error after offset and 2-point gain calibration</t>
  </si>
  <si>
    <t>Total Error after offset and 2-point gain cal over temperature</t>
  </si>
  <si>
    <t>Typical Error (%FSR)</t>
  </si>
  <si>
    <t>Worst-Case Error (%FSR)</t>
  </si>
  <si>
    <t>Worst-Case Error (mV)</t>
  </si>
  <si>
    <t>Ideal +FS Input</t>
  </si>
  <si>
    <t>Usable +FS Input</t>
  </si>
  <si>
    <t>Ideal +FS Output</t>
  </si>
  <si>
    <t>User Inputs for Dif. To SE Conversion</t>
  </si>
  <si>
    <t>Worst Case Differential to Single-Ended Error PPM</t>
  </si>
  <si>
    <t>Final Error Results</t>
  </si>
  <si>
    <t>Typical Total Error (PPM)</t>
  </si>
  <si>
    <t>Typical Total Error (%FSR)</t>
  </si>
  <si>
    <t>Worst-Case Total Error (mV)</t>
  </si>
  <si>
    <t>Worst-Case Total Error (%FSR)</t>
  </si>
  <si>
    <t>Typical Total Error (mV)</t>
  </si>
  <si>
    <t>Worst Case Resistor Divider Error PPM</t>
  </si>
  <si>
    <t>AMC Error PPM</t>
  </si>
  <si>
    <t xml:space="preserve">Total Worst Case PPM </t>
  </si>
  <si>
    <t>Total Error PPM</t>
  </si>
  <si>
    <t>mV Error</t>
  </si>
  <si>
    <t>mV Error @Input</t>
  </si>
  <si>
    <t>1)</t>
  </si>
  <si>
    <t>Output options</t>
  </si>
  <si>
    <t>Difference between ideal voltage and actual voltage output</t>
  </si>
  <si>
    <t>Data Sheet typical and maximum values listed &amp; translated to mV</t>
  </si>
  <si>
    <t>AMC devices</t>
  </si>
  <si>
    <t>How gain error changes over temperature</t>
  </si>
  <si>
    <t>Difference between ideal offset to actual offset</t>
  </si>
  <si>
    <t>Ambient Temperature Minimum</t>
  </si>
  <si>
    <t>Minimum temperature of environment</t>
  </si>
  <si>
    <t>Ambient Temperature Maximum</t>
  </si>
  <si>
    <t>Maximum temperature of environment</t>
  </si>
  <si>
    <t>How offset error changes over temperature</t>
  </si>
  <si>
    <r>
      <t xml:space="preserve">Resistor value of input filter (typ. 10 </t>
    </r>
    <r>
      <rPr>
        <sz val="11"/>
        <color theme="1"/>
        <rFont val="Calibri"/>
        <family val="2"/>
      </rPr>
      <t>Ω)</t>
    </r>
  </si>
  <si>
    <t xml:space="preserve">Integral Non Linearity - deviation of the actual transfer function with respect to ideal transfer function </t>
  </si>
  <si>
    <t>Capacitor value of input filter (typ 10 nF)</t>
  </si>
  <si>
    <t>2)</t>
  </si>
  <si>
    <t xml:space="preserve">User Inputs Results </t>
  </si>
  <si>
    <t>How INL error changes over temperature</t>
  </si>
  <si>
    <t>Cutoff filter value from input filter</t>
  </si>
  <si>
    <t>6)</t>
  </si>
  <si>
    <r>
      <rPr>
        <b/>
        <sz val="11"/>
        <color theme="1"/>
        <rFont val="Calibri"/>
        <family val="2"/>
        <scheme val="minor"/>
      </rPr>
      <t xml:space="preserve">Error Results - </t>
    </r>
    <r>
      <rPr>
        <sz val="11"/>
        <color theme="1"/>
        <rFont val="Calibri"/>
        <family val="2"/>
        <scheme val="minor"/>
      </rPr>
      <t>Error of device with user inputs</t>
    </r>
  </si>
  <si>
    <t>Final Result! Error of device &amp; user inputs only</t>
  </si>
  <si>
    <t>Error calculated cutput preferred typical and maximum values, listed as a percentage of full-scale range &amp; translated to mV</t>
  </si>
  <si>
    <t>Total Error after offset calibration</t>
  </si>
  <si>
    <t>Error if calibrate offset</t>
  </si>
  <si>
    <t>Error if calibrate offset twice</t>
  </si>
  <si>
    <t>Error if calibrate offset twice over temperaure (should have best results)</t>
  </si>
  <si>
    <t>4)</t>
  </si>
  <si>
    <t>Differential to single-ended conversion directions and results explanations.</t>
  </si>
  <si>
    <t>5)</t>
  </si>
  <si>
    <t>Reference Specifications table above for definitions.</t>
  </si>
  <si>
    <t>Voltage required between two input terminals of selected op amp to have 0V output (from OPA data sheet)</t>
  </si>
  <si>
    <t>Differential to Single-Ended Conversion Error Results</t>
  </si>
  <si>
    <t>Reference Error Results table above for definitions</t>
  </si>
  <si>
    <t>How OPA input offset changes over temperature (from OPA data sheet)</t>
  </si>
  <si>
    <t>Device (1) + Shunt Resistor (2) + Op Amp (3) error results in typical/worst-case values:</t>
  </si>
  <si>
    <t>Tolerance of op amp resistors selected</t>
  </si>
  <si>
    <t>Feedback resistor value (recommended value in device data sheet)</t>
  </si>
  <si>
    <t>Root-sum-square error in PPM</t>
  </si>
  <si>
    <t>Non inverting ground resistor value (recommended value in device data sheet)</t>
  </si>
  <si>
    <t>Total Error percentage of full scale range</t>
  </si>
  <si>
    <t>Error in mV of Op Amp</t>
  </si>
  <si>
    <r>
      <rPr>
        <b/>
        <sz val="11"/>
        <color theme="1"/>
        <rFont val="Calibri"/>
        <family val="2"/>
        <scheme val="minor"/>
      </rPr>
      <t xml:space="preserve">AMC Error PPM - </t>
    </r>
    <r>
      <rPr>
        <sz val="11"/>
        <color theme="1"/>
        <rFont val="Calibri"/>
        <family val="2"/>
        <scheme val="minor"/>
      </rPr>
      <t>Error from device over full-scale output in parts per million</t>
    </r>
  </si>
  <si>
    <t>Error in mV at input of device</t>
  </si>
  <si>
    <t>A Error @Input</t>
  </si>
  <si>
    <t>Error in A at input of device</t>
  </si>
  <si>
    <t>3)</t>
  </si>
  <si>
    <t>Tolerance of shunt resistor translated to PPM</t>
  </si>
  <si>
    <t>How shunt resistor tolerance changes over temperature in PPM</t>
  </si>
  <si>
    <r>
      <t xml:space="preserve">Worst Case Differential to Single-Ended Error PPM - </t>
    </r>
    <r>
      <rPr>
        <sz val="11"/>
        <color theme="1"/>
        <rFont val="Calibri"/>
        <family val="2"/>
        <scheme val="minor"/>
      </rPr>
      <t>Error from Op Amp user inputs</t>
    </r>
  </si>
  <si>
    <t>Gain of Op Amp feedback resistors</t>
  </si>
  <si>
    <r>
      <t>Positive full-scale output of AMC in mV [</t>
    </r>
    <r>
      <rPr>
        <i/>
        <sz val="11"/>
        <color theme="1"/>
        <rFont val="Calibri"/>
        <family val="2"/>
        <scheme val="minor"/>
      </rPr>
      <t>Input of Op Amp</t>
    </r>
    <r>
      <rPr>
        <sz val="11"/>
        <color theme="1"/>
        <rFont val="Calibri"/>
        <family val="2"/>
        <scheme val="minor"/>
      </rPr>
      <t>]</t>
    </r>
  </si>
  <si>
    <t>Output of Op Amp</t>
  </si>
  <si>
    <t>Expected output of Op Amp based on previous two values</t>
  </si>
  <si>
    <t>Difference between ideal voltage and actual voltage output of Op Amp</t>
  </si>
  <si>
    <t>How gain error changes over temperature of Op Amp</t>
  </si>
  <si>
    <t>Difference between ideal offset to actual offset of Op Amp</t>
  </si>
  <si>
    <t>How offset error changes over temperature of Op Amp</t>
  </si>
  <si>
    <t>Maximum voltage system will detect</t>
  </si>
  <si>
    <t>R1/R2 Resistance</t>
  </si>
  <si>
    <t>Voltage divider value (R = V/I; V=max. input, I=max. current)</t>
  </si>
  <si>
    <t>Voltage across shunt resistor</t>
  </si>
  <si>
    <t>Calculated shunt resistor value</t>
  </si>
  <si>
    <t>Calculated R3' value</t>
  </si>
  <si>
    <t>Closest 1% rated resistor value to ideal resistance</t>
  </si>
  <si>
    <t>Power dissipated across resistor divider at room temperature</t>
  </si>
  <si>
    <t>Maximum full scale differential input voltage in respect to input current</t>
  </si>
  <si>
    <t>Minimum full scale differential input voltage in respect to input current</t>
  </si>
  <si>
    <t>Maximum full scale differential input voltage in respect to input current and room temperature</t>
  </si>
  <si>
    <t>Minimum full scale differential input voltage in respect to input current and room temperature</t>
  </si>
  <si>
    <t>Current across resistor divider</t>
  </si>
  <si>
    <r>
      <t xml:space="preserve">Worst Case Resistor Divider Error PPM - </t>
    </r>
    <r>
      <rPr>
        <sz val="11"/>
        <color theme="1"/>
        <rFont val="Calibri"/>
        <family val="2"/>
        <scheme val="minor"/>
      </rPr>
      <t>Resistor divider error in parts per million</t>
    </r>
  </si>
  <si>
    <t>Resistor Divider Tolderance</t>
  </si>
  <si>
    <t>Tolerance of resistors from resistor divider</t>
  </si>
  <si>
    <t>Drift of resistors from resistor divider</t>
  </si>
  <si>
    <r>
      <t xml:space="preserve">Total Worst Case PPM Solutions - </t>
    </r>
    <r>
      <rPr>
        <sz val="11"/>
        <color theme="1"/>
        <rFont val="Calibri"/>
        <family val="2"/>
        <scheme val="minor"/>
      </rPr>
      <t>Section 1 + 2 + 3; root-sum-square</t>
    </r>
  </si>
  <si>
    <t>http://www.ti.com/lit/gpn/AMC1211-q1</t>
  </si>
  <si>
    <t>Intermediary Result =</t>
  </si>
  <si>
    <t>Final Result =</t>
  </si>
  <si>
    <t>OPA Rf/Rg Drift</t>
  </si>
  <si>
    <t>Calculated input offset as per drawn circuit due to OPA offset, offset drift, Rf/Rg tolerance, Rf/Rg drift, assuming 5V supply and 2.5V common-mode output</t>
  </si>
  <si>
    <t>How OPA Rf/Rg tolerance changes over temperature</t>
  </si>
  <si>
    <t>Reference Input Offset Voltage</t>
  </si>
  <si>
    <t>Reference Offset Voltage Drift</t>
  </si>
  <si>
    <t>How reference input offset voltage changes over temperature</t>
  </si>
  <si>
    <t>5. Go to the Directions tab for descriptions of each cell in the Voltage Sensing Calculator</t>
  </si>
  <si>
    <t xml:space="preserve">Link: </t>
  </si>
  <si>
    <t>Directions</t>
  </si>
  <si>
    <t xml:space="preserve">Voltage Sensing Calculator directions and results explanations. </t>
  </si>
  <si>
    <r>
      <rPr>
        <u/>
        <sz val="10"/>
        <rFont val="Arial"/>
        <family val="2"/>
      </rPr>
      <t xml:space="preserve">For any futher assistance on this tool, please post your question in the following forum - </t>
    </r>
    <r>
      <rPr>
        <u/>
        <sz val="10"/>
        <color theme="10"/>
        <rFont val="Arial"/>
        <family val="2"/>
      </rPr>
      <t>E2E Precision Data Converters Forum</t>
    </r>
  </si>
  <si>
    <t>Definitions and descriptions of calculator parameters and results</t>
  </si>
  <si>
    <t>https://www.ti.com/lit/sbaa350</t>
  </si>
  <si>
    <t>Input Configuration</t>
  </si>
  <si>
    <t>Output Type</t>
  </si>
  <si>
    <t>±Output Voltage Range</t>
  </si>
  <si>
    <t>AMC0311D</t>
  </si>
  <si>
    <t>AMC0311D-Q1</t>
  </si>
  <si>
    <t>AMC0311R-Q1 (Vref = 3.3V)</t>
  </si>
  <si>
    <t>Ratiometric</t>
  </si>
  <si>
    <t>AMC0311R-Q1 (Vref = 5V)</t>
  </si>
  <si>
    <t>AMC0311S</t>
  </si>
  <si>
    <t>AMC0311S-Q1</t>
  </si>
  <si>
    <t>2.05 V</t>
  </si>
  <si>
    <t>2 V</t>
  </si>
  <si>
    <t xml:space="preserve"> 2 V</t>
  </si>
  <si>
    <t>2.49 V</t>
  </si>
  <si>
    <t>0.2-4.8 V</t>
  </si>
  <si>
    <t>0-2V</t>
  </si>
  <si>
    <t>0-2.25V</t>
  </si>
  <si>
    <t>http://www.ti.com/lit/gpn/AMC0311D</t>
  </si>
  <si>
    <t>http://www.ti.com/lit/gpn/AMC0311D-Q1</t>
  </si>
  <si>
    <t>http://www.ti.com/lit/gpn/AMC0311S</t>
  </si>
  <si>
    <t>http://www.ti.com/lit/gpn/AMC0311S-Q1</t>
  </si>
  <si>
    <t>http://www.ti.com/lit/gpn/AMC0311R-Q1</t>
  </si>
  <si>
    <t>AMC0100R (Vref = 3.3V)</t>
  </si>
  <si>
    <t>AMC0100R (Vref = 5V)</t>
  </si>
  <si>
    <t>AMC0200D</t>
  </si>
  <si>
    <t>AMC0200D-Q1</t>
  </si>
  <si>
    <t>AMC0200R (Vref = 3.3V)</t>
  </si>
  <si>
    <t>AMC0200R (Vref = 5V)</t>
  </si>
  <si>
    <t>AMC0200R-Q1 (Vref = 3.3V)</t>
  </si>
  <si>
    <t>AMC0200R-Q1 (Vref = 5V)</t>
  </si>
  <si>
    <t>AMC0202D</t>
  </si>
  <si>
    <t>AMC0202D-Q1</t>
  </si>
  <si>
    <t>AMC0202R (Vref = 3.3V)</t>
  </si>
  <si>
    <t>AMC0202R (Vref = 5V)</t>
  </si>
  <si>
    <t>AMC0202R-Q1 (Vref = 3.3V)</t>
  </si>
  <si>
    <t>AMC0202R-Q1 (Vref = 5V)</t>
  </si>
  <si>
    <t>AMC0211D</t>
  </si>
  <si>
    <t>AMC0211D-Q1</t>
  </si>
  <si>
    <t>AMC0211R-Q1 (Vref = 3.3V)</t>
  </si>
  <si>
    <t>AMC0211R-Q1 (Vref = 5V)</t>
  </si>
  <si>
    <t>AMC0211S</t>
  </si>
  <si>
    <t>AMC0211S-Q1</t>
  </si>
  <si>
    <t>AMC0230D</t>
  </si>
  <si>
    <t>AMC0230D-Q1</t>
  </si>
  <si>
    <t>AMC0230R (Vref = 3.3V)</t>
  </si>
  <si>
    <t>AMC0230R (Vref = 5V)</t>
  </si>
  <si>
    <t>AMC0230R-Q1 (Vref = 3.3V)</t>
  </si>
  <si>
    <t>AMC0230R-Q1 (Vref = 5V)</t>
  </si>
  <si>
    <t>AMC0230S</t>
  </si>
  <si>
    <t>AMC0230S-Q1</t>
  </si>
  <si>
    <t>AMC0300D</t>
  </si>
  <si>
    <t>AMC0300D-Q1</t>
  </si>
  <si>
    <t>AMC0300R (Vref = 3.3V)</t>
  </si>
  <si>
    <t>AMC0300R (Vref = 5V)</t>
  </si>
  <si>
    <t>AMC0300R-Q1 (Vref = 3.3V)</t>
  </si>
  <si>
    <t>AMC0300R-Q1 (Vref = 5V)</t>
  </si>
  <si>
    <t>AMC0302D</t>
  </si>
  <si>
    <t>AMC0302D-Q1</t>
  </si>
  <si>
    <t>AMC0302R (Vref = 3.3V)</t>
  </si>
  <si>
    <t>AMC0302R (Vref = 5V)</t>
  </si>
  <si>
    <t>AMC0302R-Q1 (Vref = 3.3V)</t>
  </si>
  <si>
    <t>AMC0302R-Q1 (Vref = 5V)</t>
  </si>
  <si>
    <t>AMC0330D</t>
  </si>
  <si>
    <t>AMC0330D-Q1</t>
  </si>
  <si>
    <t>AMC0330R (Vref = 3.3V)</t>
  </si>
  <si>
    <t>AMC0330R (Vref = 5V)</t>
  </si>
  <si>
    <t>AMC0330R-Q1 (Vref = 3.3V)</t>
  </si>
  <si>
    <t>AMC0330R-Q1 (Vref = 5V)</t>
  </si>
  <si>
    <t>AMC0330S</t>
  </si>
  <si>
    <t>AMC0330S-Q1</t>
  </si>
  <si>
    <t>AMC1200C</t>
  </si>
  <si>
    <t>Data Validation (Input Type)</t>
  </si>
  <si>
    <t>Integrated Resistor Divider</t>
  </si>
  <si>
    <t>Device_List_IntRdiv</t>
  </si>
  <si>
    <t>Sel IntRdiv</t>
  </si>
  <si>
    <t>Row Sel IntRdiv</t>
  </si>
  <si>
    <t>Input bias current multiplied by sense resistor. Variation of input bias current and external resistor temperature drift is not accounted for.</t>
  </si>
  <si>
    <t>Typical and Maximum Errors use root-sum-square (RSS)</t>
  </si>
  <si>
    <t>Worst-Case Error does not use RSS</t>
  </si>
  <si>
    <t>Maximum Total Error (PPM)</t>
  </si>
  <si>
    <t>Maximum Total Error</t>
  </si>
  <si>
    <t>Maximum Total Error after offset calibration</t>
  </si>
  <si>
    <t>Maximum Total Error after offset and 2-point gain calibration</t>
  </si>
  <si>
    <t>Resistor Divider (1) + AMC (2) + Diff to SE Conversion (3)</t>
  </si>
  <si>
    <t>AMC0380Dxx</t>
  </si>
  <si>
    <t>AMC0380Dxx-Q1</t>
  </si>
  <si>
    <t>AMC0381Dxx</t>
  </si>
  <si>
    <t>AMC0381Dxx-Q1</t>
  </si>
  <si>
    <t>AMC3311</t>
  </si>
  <si>
    <t>AMC3311-Q1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</si>
</sst>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164" formatCode="0.000%"/>
    <numFmt numFmtId="165" formatCode="0\ &quot;ppm/°C&quot;"/>
    <numFmt numFmtId="166" formatCode="0.00\ &quot;mV&quot;"/>
    <numFmt numFmtId="167" formatCode="0.00\ &quot; µV/°C&quot;"/>
    <numFmt numFmtId="168" formatCode="0\ &quot;µA&quot;"/>
    <numFmt numFmtId="169" formatCode="0.000\ &quot;mV&quot;"/>
    <numFmt numFmtId="170" formatCode="0.0000\ &quot;V&quot;"/>
    <numFmt numFmtId="171" formatCode="0\ &quot;V&quot;"/>
    <numFmt numFmtId="172" formatCode="#,##0\ &quot;Ω&quot;"/>
    <numFmt numFmtId="173" formatCode="0.000\ &quot;µA&quot;"/>
    <numFmt numFmtId="174" formatCode="0.0\ &quot;ppm/°C&quot;"/>
    <numFmt numFmtId="175" formatCode="#,##0\ &quot;mV&quot;"/>
    <numFmt numFmtId="176" formatCode="0\ &quot;°C&quot;"/>
    <numFmt numFmtId="177" formatCode="0.0000\ &quot;µA&quot;"/>
    <numFmt numFmtId="178" formatCode="0.000\ &quot;V&quot;"/>
    <numFmt numFmtId="179" formatCode="#,##0.000\ &quot;Ω&quot;"/>
    <numFmt numFmtId="180" formatCode="#,##0.000\ &quot;mV&quot;"/>
    <numFmt numFmtId="181" formatCode="0.000000000"/>
    <numFmt numFmtId="182" formatCode="#,##0.00\ &quot;Ω&quot;"/>
    <numFmt numFmtId="183" formatCode="#,###.00\ &quot;mV&quot;"/>
    <numFmt numFmtId="184" formatCode="#,##0\ &quot;mW&quot;"/>
    <numFmt numFmtId="185" formatCode="0.00\ &quot;nF&quot;"/>
    <numFmt numFmtId="186" formatCode="#,###\ &quot;kHz&quot;"/>
    <numFmt numFmtId="187" formatCode="#,##0.0"/>
    <numFmt numFmtId="188" formatCode="0.0000\ &quot;mV&quot;"/>
    <numFmt numFmtId="189" formatCode="0.0\ &quot;%&quot;"/>
    <numFmt numFmtId="190" formatCode="0.000"/>
    <numFmt numFmtId="191" formatCode="#,##0.0\ &quot;kΩ&quot;"/>
    <numFmt numFmtId="192" formatCode="0.00\ &quot;V&quot;"/>
    <numFmt numFmtId="193" formatCode="#,##0.00\ &quot;mV&quot;"/>
    <numFmt numFmtId="194" formatCode="0.0000%"/>
    <numFmt numFmtId="195" formatCode="#,##0.000\ &quot;uA&quot;"/>
    <numFmt numFmtId="196" formatCode="0.000\ &quot;uA&quot;"/>
    <numFmt numFmtId="197" formatCode="0\ &quot;mV&quot;"/>
    <numFmt numFmtId="198" formatCode="#,##0\ &quot;V&quot;"/>
  </numFmts>
  <fonts count="50">
    <font>
      <sz val="11"/>
      <color theme="1"/>
      <name val="Calibri"/>
      <family val="2"/>
      <scheme val="minor"/>
    </font>
    <font>
      <b/>
      <sz val="11"/>
      <color theme="1"/>
      <name val="Calibri"/>
      <family val="2"/>
      <scheme val="minor"/>
    </font>
    <font>
      <sz val="11"/>
      <color theme="1"/>
      <name val="Calibri"/>
      <family val="2"/>
    </font>
    <font>
      <b/>
      <sz val="11"/>
      <color theme="1"/>
      <name val="Arial"/>
      <family val="2"/>
    </font>
    <font>
      <u/>
      <sz val="11"/>
      <color theme="10"/>
      <name val="Calibri"/>
      <family val="2"/>
      <scheme val="minor"/>
    </font>
    <font>
      <u/>
      <sz val="11"/>
      <color theme="10"/>
      <name val="Arial"/>
      <family val="2"/>
    </font>
    <font>
      <sz val="11"/>
      <color theme="1"/>
      <name val="Arial"/>
      <family val="2"/>
    </font>
    <font>
      <sz val="10"/>
      <color theme="1"/>
      <name val="Arial"/>
      <family val="2"/>
    </font>
    <font>
      <b/>
      <u/>
      <sz val="10"/>
      <color theme="10"/>
      <name val="Arial"/>
      <family val="2"/>
    </font>
    <font>
      <b/>
      <sz val="10"/>
      <color theme="1"/>
      <name val="Arial"/>
      <family val="2"/>
    </font>
    <font>
      <sz val="11"/>
      <color rgb="FFFF0000"/>
      <name val="Calibri"/>
      <family val="2"/>
      <scheme val="minor"/>
    </font>
    <font>
      <b/>
      <sz val="14"/>
      <color theme="1"/>
      <name val="Calibri"/>
      <family val="2"/>
      <scheme val="minor"/>
    </font>
    <font>
      <b/>
      <sz val="11"/>
      <color theme="1"/>
      <name val="Calibri"/>
      <family val="2"/>
    </font>
    <font>
      <sz val="11"/>
      <name val="Calibri"/>
      <family val="2"/>
      <scheme val="minor"/>
    </font>
    <font>
      <b/>
      <sz val="11"/>
      <color rgb="FFDE0000"/>
      <name val="Calibri"/>
      <family val="2"/>
      <scheme val="minor"/>
    </font>
    <font>
      <i/>
      <sz val="10"/>
      <color theme="1"/>
      <name val="Arial"/>
      <family val="2"/>
    </font>
    <font>
      <sz val="11"/>
      <color theme="0"/>
      <name val="Calibri"/>
      <family val="2"/>
      <scheme val="minor"/>
    </font>
    <font>
      <sz val="11"/>
      <color theme="1"/>
      <name val="Calibri"/>
      <family val="2"/>
      <scheme val="minor"/>
    </font>
    <font>
      <sz val="11"/>
      <color theme="1"/>
      <name val="Calibri"/>
      <family val="2"/>
    </font>
    <font>
      <sz val="36"/>
      <color theme="1"/>
      <name val="Calibri"/>
      <family val="2"/>
      <scheme val="minor"/>
    </font>
    <font>
      <b/>
      <sz val="36"/>
      <color theme="1"/>
      <name val="Calibri"/>
      <family val="2"/>
      <scheme val="minor"/>
    </font>
    <font>
      <sz val="6"/>
      <name val="Calibri"/>
      <family val="3"/>
      <charset val="128"/>
      <scheme val="minor"/>
    </font>
    <font>
      <b/>
      <sz val="11"/>
      <color theme="0"/>
      <name val="Calibri"/>
      <family val="2"/>
      <scheme val="minor"/>
    </font>
    <font>
      <sz val="14"/>
      <color rgb="FF464646"/>
      <name val="Arial"/>
      <family val="2"/>
    </font>
    <font>
      <sz val="14"/>
      <color rgb="FF464646"/>
      <name val="Arial"/>
      <family val="2"/>
    </font>
    <font>
      <sz val="7"/>
      <color rgb="FF000000"/>
      <name val="Verdana"/>
      <family val="2"/>
    </font>
    <font>
      <sz val="11"/>
      <color theme="1"/>
      <name val="Calibri"/>
      <family val="2"/>
      <scheme val="minor"/>
    </font>
    <font>
      <u/>
      <sz val="10"/>
      <color theme="10"/>
      <name val="Arial"/>
      <family val="2"/>
    </font>
    <font>
      <u/>
      <sz val="10"/>
      <name val="Arial"/>
      <family val="2"/>
    </font>
    <font>
      <b/>
      <sz val="11"/>
      <name val="Calibri"/>
      <family val="2"/>
      <scheme val="minor"/>
    </font>
    <font>
      <b/>
      <sz val="10"/>
      <color theme="0"/>
      <name val="Arial"/>
      <family val="2"/>
    </font>
    <font>
      <sz val="11"/>
      <color theme="1"/>
      <name val="Calibri"/>
      <family val="2"/>
      <scheme val="minor"/>
    </font>
    <font>
      <sz val="11"/>
      <color theme="1"/>
      <name val="Calibri"/>
      <family val="2"/>
    </font>
    <font>
      <sz val="14"/>
      <color rgb="FF464646"/>
      <name val="Arial"/>
      <family val="2"/>
    </font>
    <font>
      <u/>
      <sz val="11"/>
      <color theme="1"/>
      <name val="Calibri"/>
      <family val="2"/>
      <scheme val="minor"/>
    </font>
    <font>
      <i/>
      <sz val="11"/>
      <color theme="1"/>
      <name val="Calibri"/>
      <family val="2"/>
      <scheme val="minor"/>
    </font>
    <font>
      <b/>
      <sz val="14"/>
      <color theme="0"/>
      <name val="Calibri"/>
      <family val="2"/>
      <scheme val="minor"/>
    </font>
    <font>
      <sz val="11"/>
      <color theme="1"/>
      <name val="Calibri"/>
      <family val="2"/>
      <scheme val="minor"/>
    </font>
    <font>
      <sz val="11"/>
      <color theme="1"/>
      <name val="Calibri"/>
      <family val="2"/>
    </font>
    <font>
      <b/>
      <u/>
      <sz val="11"/>
      <color theme="1"/>
      <name val="Calibri"/>
      <family val="2"/>
      <scheme val="minor"/>
    </font>
    <font>
      <b/>
      <i/>
      <sz val="11"/>
      <color theme="1"/>
      <name val="Calibri"/>
      <family val="2"/>
      <scheme val="minor"/>
    </font>
    <font>
      <sz val="11"/>
      <color theme="1"/>
      <name val="Calibri"/>
      <scheme val="minor"/>
    </font>
    <font>
      <sz val="14"/>
      <color rgb="FF464646"/>
      <name val="Arial"/>
    </font>
    <font>
      <b/>
      <i/>
      <sz val="10"/>
      <color theme="1"/>
      <name val="Calibri"/>
      <family val="2"/>
      <scheme val="minor"/>
    </font>
    <font>
      <sz val="10"/>
      <color theme="1"/>
      <name val="Calibri"/>
      <family val="2"/>
      <scheme val="minor"/>
    </font>
    <font>
      <b/>
      <sz val="10"/>
      <name val="Arial"/>
      <family val="2"/>
    </font>
    <font>
      <sz val="10"/>
      <name val="Arial"/>
      <family val="2"/>
    </font>
    <font>
      <u/>
      <sz val="10"/>
      <color theme="10"/>
      <name val="Calibri"/>
      <family val="2"/>
      <scheme val="minor"/>
    </font>
    <font>
      <sz val="11"/>
      <color theme="1"/>
      <name val="Calibri"/>
    </font>
    <font>
      <u/>
      <sz val="14"/>
      <color theme="1"/>
      <name val="Calibri"/>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rgb="FFDE0000"/>
        <bgColor indexed="64"/>
      </patternFill>
    </fill>
    <fill>
      <patternFill patternType="solid">
        <fgColor rgb="FFCCFFCC"/>
        <bgColor indexed="64"/>
      </patternFill>
    </fill>
    <fill>
      <patternFill patternType="solid">
        <fgColor rgb="FFFFFFCC"/>
        <bgColor indexed="64"/>
      </patternFill>
    </fill>
    <fill>
      <patternFill patternType="solid">
        <fgColor rgb="FF89E0FF"/>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
      <patternFill patternType="solid">
        <fgColor rgb="FFF7F7F7"/>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BDEEFF"/>
        <bgColor indexed="64"/>
      </patternFill>
    </fill>
    <fill>
      <patternFill patternType="solid">
        <fgColor theme="1"/>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bottom/>
      <diagonal/>
    </border>
    <border>
      <left/>
      <right style="thin">
        <color indexed="64"/>
      </right>
      <top/>
      <bottom style="thin">
        <color indexed="64"/>
      </bottom>
      <diagonal/>
    </border>
    <border>
      <left/>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thin">
        <color indexed="64"/>
      </right>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bottom style="medium">
        <color indexed="64"/>
      </bottom>
      <diagonal/>
    </border>
    <border>
      <left/>
      <right/>
      <top style="thin">
        <color auto="1"/>
      </top>
      <bottom style="thin">
        <color auto="1"/>
      </bottom>
      <diagonal/>
    </border>
    <border>
      <left style="thin">
        <color indexed="64"/>
      </left>
      <right/>
      <top/>
      <bottom/>
      <diagonal/>
    </border>
    <border>
      <left/>
      <right style="medium">
        <color indexed="64"/>
      </right>
      <top/>
      <bottom style="medium">
        <color indexed="64"/>
      </bottom>
      <diagonal/>
    </border>
    <border>
      <left/>
      <right style="thin">
        <color indexed="64"/>
      </right>
      <top style="thin">
        <color auto="1"/>
      </top>
      <bottom style="thin">
        <color auto="1"/>
      </bottom>
      <diagonal/>
    </border>
    <border>
      <left/>
      <right/>
      <top style="thin">
        <color auto="1"/>
      </top>
      <bottom/>
      <diagonal/>
    </border>
    <border>
      <left/>
      <right style="medium">
        <color indexed="64"/>
      </right>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rgb="FFC0C0C9"/>
      </right>
      <top/>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rgb="FFDDDDDD"/>
      </left>
      <right style="medium">
        <color rgb="FFDDDDDD"/>
      </right>
      <top style="medium">
        <color rgb="FFDDDDDD"/>
      </top>
      <bottom style="medium">
        <color rgb="FFDDDDDD"/>
      </bottom>
      <diagonal/>
    </border>
    <border>
      <left style="medium">
        <color rgb="FF999999"/>
      </left>
      <right style="medium">
        <color rgb="FFDDDDDD"/>
      </right>
      <top style="medium">
        <color rgb="FF999999"/>
      </top>
      <bottom style="medium">
        <color rgb="FFDDDDDD"/>
      </bottom>
      <diagonal/>
    </border>
    <border>
      <left style="medium">
        <color rgb="FFDDDDDD"/>
      </left>
      <right style="medium">
        <color rgb="FFDDDDDD"/>
      </right>
      <top style="medium">
        <color rgb="FF999999"/>
      </top>
      <bottom style="medium">
        <color rgb="FFDDDDDD"/>
      </bottom>
      <diagonal/>
    </border>
    <border>
      <left style="medium">
        <color rgb="FFDDDDDD"/>
      </left>
      <right style="medium">
        <color rgb="FF999999"/>
      </right>
      <top style="medium">
        <color rgb="FF999999"/>
      </top>
      <bottom style="medium">
        <color rgb="FFDDDDDD"/>
      </bottom>
      <diagonal/>
    </border>
    <border>
      <left style="medium">
        <color rgb="FF999999"/>
      </left>
      <right style="medium">
        <color rgb="FFDDDDDD"/>
      </right>
      <top style="medium">
        <color rgb="FFDDDDDD"/>
      </top>
      <bottom style="medium">
        <color rgb="FFDDDDDD"/>
      </bottom>
      <diagonal/>
    </border>
    <border>
      <left style="medium">
        <color rgb="FFDDDDDD"/>
      </left>
      <right style="medium">
        <color rgb="FF999999"/>
      </right>
      <top style="medium">
        <color rgb="FFDDDDDD"/>
      </top>
      <bottom style="medium">
        <color rgb="FFDDDDDD"/>
      </bottom>
      <diagonal/>
    </border>
    <border>
      <left style="medium">
        <color rgb="FF999999"/>
      </left>
      <right style="medium">
        <color rgb="FFDDDDDD"/>
      </right>
      <top style="medium">
        <color rgb="FFDDDDDD"/>
      </top>
      <bottom style="medium">
        <color rgb="FF999999"/>
      </bottom>
      <diagonal/>
    </border>
    <border>
      <left style="medium">
        <color rgb="FFDDDDDD"/>
      </left>
      <right style="medium">
        <color rgb="FFDDDDDD"/>
      </right>
      <top style="medium">
        <color rgb="FFDDDDDD"/>
      </top>
      <bottom style="medium">
        <color rgb="FF999999"/>
      </bottom>
      <diagonal/>
    </border>
    <border>
      <left style="medium">
        <color rgb="FFDDDDDD"/>
      </left>
      <right style="medium">
        <color rgb="FF999999"/>
      </right>
      <top style="medium">
        <color rgb="FFDDDDDD"/>
      </top>
      <bottom style="medium">
        <color rgb="FF999999"/>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s>
  <cellStyleXfs count="4">
    <xf numFmtId="0" fontId="0" fillId="0" borderId="0"/>
    <xf numFmtId="0" fontId="4" fillId="0" borderId="0" applyNumberFormat="0" applyFill="0" applyBorder="0" applyAlignment="0" applyProtection="0"/>
    <xf numFmtId="0" fontId="26" fillId="0" borderId="0"/>
    <xf numFmtId="9" fontId="17" fillId="0" borderId="0" applyFont="0" applyFill="0" applyBorder="0" applyAlignment="0" applyProtection="0"/>
  </cellStyleXfs>
  <cellXfs count="696">
    <xf numFmtId="0" fontId="0" fillId="0" borderId="0" xfId="0"/>
    <xf numFmtId="0" fontId="15" fillId="0" borderId="19" xfId="0" quotePrefix="1" applyFont="1" applyBorder="1" applyAlignment="1">
      <alignment horizontal="right" vertical="center"/>
    </xf>
    <xf numFmtId="0" fontId="7" fillId="5" borderId="46" xfId="0" applyFont="1" applyFill="1" applyBorder="1" applyAlignment="1">
      <alignment horizontal="center" vertical="center"/>
    </xf>
    <xf numFmtId="0" fontId="7" fillId="4" borderId="46" xfId="0" applyFont="1" applyFill="1" applyBorder="1" applyAlignment="1">
      <alignment horizontal="center" vertical="center"/>
    </xf>
    <xf numFmtId="0" fontId="15" fillId="0" borderId="19" xfId="0" applyFont="1" applyBorder="1" applyAlignment="1">
      <alignment horizontal="right" vertical="center"/>
    </xf>
    <xf numFmtId="0" fontId="15" fillId="0" borderId="24" xfId="0" applyFont="1" applyBorder="1" applyAlignment="1">
      <alignment horizontal="right" vertical="center"/>
    </xf>
    <xf numFmtId="0" fontId="7" fillId="13" borderId="47" xfId="0" applyFont="1" applyFill="1" applyBorder="1" applyAlignment="1">
      <alignment horizontal="center" vertical="center"/>
    </xf>
    <xf numFmtId="166" fontId="0" fillId="13" borderId="30" xfId="0" applyNumberFormat="1" applyFill="1" applyBorder="1" applyAlignment="1" applyProtection="1">
      <alignment horizontal="center" vertical="center"/>
      <protection locked="0"/>
    </xf>
    <xf numFmtId="167" fontId="0" fillId="13" borderId="30" xfId="0" applyNumberFormat="1" applyFill="1" applyBorder="1" applyAlignment="1" applyProtection="1">
      <alignment horizontal="center" vertical="center"/>
      <protection locked="0"/>
    </xf>
    <xf numFmtId="189" fontId="0" fillId="13" borderId="30" xfId="0" applyNumberFormat="1" applyFill="1" applyBorder="1" applyAlignment="1" applyProtection="1">
      <alignment horizontal="center" vertical="center"/>
      <protection locked="0"/>
    </xf>
    <xf numFmtId="191" fontId="0" fillId="13" borderId="30" xfId="0" applyNumberFormat="1" applyFill="1" applyBorder="1" applyAlignment="1" applyProtection="1">
      <alignment horizontal="center" vertical="center"/>
      <protection locked="0"/>
    </xf>
    <xf numFmtId="189" fontId="0" fillId="13" borderId="58" xfId="0" applyNumberFormat="1" applyFill="1" applyBorder="1" applyAlignment="1" applyProtection="1">
      <alignment horizontal="center" vertical="center"/>
      <protection locked="0"/>
    </xf>
    <xf numFmtId="174" fontId="0" fillId="13" borderId="30" xfId="0" applyNumberFormat="1" applyFill="1" applyBorder="1" applyAlignment="1" applyProtection="1">
      <alignment horizontal="center" vertical="center"/>
      <protection locked="0"/>
    </xf>
    <xf numFmtId="174" fontId="0" fillId="13" borderId="47" xfId="0" applyNumberFormat="1" applyFill="1" applyBorder="1" applyAlignment="1" applyProtection="1">
      <alignment horizontal="center" vertical="center"/>
      <protection locked="0"/>
    </xf>
    <xf numFmtId="170" fontId="0" fillId="0" borderId="0" xfId="0" applyNumberFormat="1"/>
    <xf numFmtId="0" fontId="22" fillId="0" borderId="0" xfId="0" applyFont="1" applyAlignment="1">
      <alignment horizontal="center"/>
    </xf>
    <xf numFmtId="0" fontId="25" fillId="8" borderId="50" xfId="0" applyFont="1" applyFill="1" applyBorder="1" applyAlignment="1">
      <alignment vertical="center" wrapText="1"/>
    </xf>
    <xf numFmtId="1" fontId="24" fillId="10" borderId="43" xfId="0" applyNumberFormat="1" applyFont="1" applyFill="1" applyBorder="1" applyAlignment="1">
      <alignment horizontal="center" vertical="center" wrapText="1"/>
    </xf>
    <xf numFmtId="0" fontId="23" fillId="10" borderId="0" xfId="0" applyFont="1" applyFill="1" applyAlignment="1">
      <alignment horizontal="center" vertical="center" wrapText="1"/>
    </xf>
    <xf numFmtId="0" fontId="1" fillId="9" borderId="45" xfId="0" applyFont="1" applyFill="1" applyBorder="1" applyAlignment="1">
      <alignment horizontal="center"/>
    </xf>
    <xf numFmtId="0" fontId="25" fillId="8" borderId="53" xfId="0" applyFont="1" applyFill="1" applyBorder="1" applyAlignment="1">
      <alignment vertical="center" wrapText="1"/>
    </xf>
    <xf numFmtId="0" fontId="13" fillId="0" borderId="0" xfId="0" applyFont="1" applyAlignment="1">
      <alignment horizontal="center" vertical="top" wrapText="1"/>
    </xf>
    <xf numFmtId="0" fontId="0" fillId="0" borderId="19" xfId="0" applyBorder="1"/>
    <xf numFmtId="11" fontId="0" fillId="0" borderId="39" xfId="0" applyNumberFormat="1" applyBorder="1"/>
    <xf numFmtId="0" fontId="0" fillId="0" borderId="41" xfId="0" applyBorder="1"/>
    <xf numFmtId="0" fontId="0" fillId="0" borderId="47" xfId="0" applyBorder="1"/>
    <xf numFmtId="172" fontId="0" fillId="0" borderId="39" xfId="0" applyNumberFormat="1" applyBorder="1"/>
    <xf numFmtId="0" fontId="0" fillId="9" borderId="46" xfId="0" applyFill="1" applyBorder="1" applyAlignment="1">
      <alignment horizontal="center"/>
    </xf>
    <xf numFmtId="11" fontId="0" fillId="0" borderId="19" xfId="0" applyNumberFormat="1" applyBorder="1"/>
    <xf numFmtId="0" fontId="1" fillId="0" borderId="2" xfId="0" applyFont="1" applyBorder="1"/>
    <xf numFmtId="0" fontId="1" fillId="0" borderId="46" xfId="0" applyFont="1" applyBorder="1"/>
    <xf numFmtId="0" fontId="0" fillId="0" borderId="32" xfId="0" applyBorder="1"/>
    <xf numFmtId="0" fontId="0" fillId="0" borderId="23" xfId="0" applyBorder="1"/>
    <xf numFmtId="0" fontId="22" fillId="11" borderId="59" xfId="0" applyFont="1" applyFill="1" applyBorder="1" applyAlignment="1">
      <alignment horizontal="center"/>
    </xf>
    <xf numFmtId="0" fontId="0" fillId="0" borderId="2" xfId="0" applyBorder="1"/>
    <xf numFmtId="0" fontId="0" fillId="0" borderId="46" xfId="0" applyBorder="1"/>
    <xf numFmtId="175" fontId="0" fillId="0" borderId="39" xfId="0" applyNumberFormat="1" applyBorder="1"/>
    <xf numFmtId="0" fontId="0" fillId="0" borderId="24" xfId="0" quotePrefix="1" applyBorder="1"/>
    <xf numFmtId="0" fontId="0" fillId="0" borderId="36" xfId="0" applyBorder="1"/>
    <xf numFmtId="0" fontId="29" fillId="0" borderId="0" xfId="0" applyFont="1" applyAlignment="1">
      <alignment horizontal="center"/>
    </xf>
    <xf numFmtId="0" fontId="0" fillId="0" borderId="39" xfId="0" applyBorder="1"/>
    <xf numFmtId="183" fontId="0" fillId="0" borderId="39" xfId="0" applyNumberFormat="1" applyBorder="1"/>
    <xf numFmtId="0" fontId="0" fillId="0" borderId="41" xfId="0" applyBorder="1" applyAlignment="1">
      <alignment horizontal="left" vertical="center"/>
    </xf>
    <xf numFmtId="0" fontId="0" fillId="0" borderId="5" xfId="0" applyBorder="1"/>
    <xf numFmtId="175" fontId="0" fillId="0" borderId="36" xfId="0" applyNumberFormat="1" applyBorder="1"/>
    <xf numFmtId="0" fontId="25" fillId="8" borderId="55" xfId="0" applyFont="1" applyFill="1" applyBorder="1" applyAlignment="1">
      <alignment vertical="center" wrapText="1"/>
    </xf>
    <xf numFmtId="0" fontId="0" fillId="0" borderId="2" xfId="0" applyBorder="1" applyAlignment="1">
      <alignment horizontal="left" vertical="center"/>
    </xf>
    <xf numFmtId="0" fontId="0" fillId="0" borderId="0" xfId="0" applyAlignment="1">
      <alignment horizontal="center"/>
    </xf>
    <xf numFmtId="0" fontId="25" fillId="8" borderId="51" xfId="0" applyFont="1" applyFill="1" applyBorder="1" applyAlignment="1">
      <alignment vertical="center" wrapText="1"/>
    </xf>
    <xf numFmtId="0" fontId="0" fillId="0" borderId="24" xfId="0" applyBorder="1"/>
    <xf numFmtId="11" fontId="0" fillId="0" borderId="36" xfId="0" applyNumberFormat="1" applyBorder="1"/>
    <xf numFmtId="11" fontId="0" fillId="0" borderId="24" xfId="0" applyNumberFormat="1" applyBorder="1"/>
    <xf numFmtId="10" fontId="13" fillId="0" borderId="39" xfId="0" applyNumberFormat="1" applyFont="1" applyBorder="1"/>
    <xf numFmtId="175" fontId="0" fillId="0" borderId="0" xfId="0" applyNumberFormat="1"/>
    <xf numFmtId="0" fontId="25" fillId="8" borderId="49" xfId="0" applyFont="1" applyFill="1" applyBorder="1" applyAlignment="1">
      <alignment vertical="center" wrapText="1"/>
    </xf>
    <xf numFmtId="0" fontId="0" fillId="0" borderId="69" xfId="0" applyBorder="1" applyAlignment="1">
      <alignment horizontal="left" vertical="center" wrapText="1"/>
    </xf>
    <xf numFmtId="181" fontId="0" fillId="0" borderId="36" xfId="0" applyNumberFormat="1" applyBorder="1"/>
    <xf numFmtId="10" fontId="0" fillId="0" borderId="36" xfId="0" applyNumberFormat="1" applyBorder="1"/>
    <xf numFmtId="0" fontId="25" fillId="8" borderId="56" xfId="0" applyFont="1" applyFill="1" applyBorder="1" applyAlignment="1">
      <alignment vertical="center" wrapText="1"/>
    </xf>
    <xf numFmtId="193" fontId="0" fillId="0" borderId="36" xfId="0" applyNumberFormat="1" applyBorder="1"/>
    <xf numFmtId="0" fontId="10" fillId="0" borderId="0" xfId="0" applyFont="1"/>
    <xf numFmtId="0" fontId="13" fillId="0" borderId="0" xfId="0" applyFont="1" applyAlignment="1">
      <alignment horizontal="left"/>
    </xf>
    <xf numFmtId="0" fontId="1" fillId="9" borderId="32" xfId="0" applyFont="1" applyFill="1" applyBorder="1" applyAlignment="1">
      <alignment horizontal="center"/>
    </xf>
    <xf numFmtId="0" fontId="1" fillId="9" borderId="23" xfId="0" applyFont="1" applyFill="1" applyBorder="1" applyAlignment="1">
      <alignment horizontal="center"/>
    </xf>
    <xf numFmtId="0" fontId="23" fillId="10" borderId="43" xfId="0" applyFont="1" applyFill="1" applyBorder="1" applyAlignment="1">
      <alignment horizontal="center" vertical="center" wrapText="1"/>
    </xf>
    <xf numFmtId="1" fontId="23" fillId="10" borderId="43" xfId="0" applyNumberFormat="1" applyFont="1" applyFill="1" applyBorder="1" applyAlignment="1">
      <alignment horizontal="center" vertical="center" wrapText="1"/>
    </xf>
    <xf numFmtId="0" fontId="0" fillId="7" borderId="66" xfId="0" applyFill="1" applyBorder="1" applyAlignment="1">
      <alignment horizontal="left" vertical="center" indent="1"/>
    </xf>
    <xf numFmtId="196" fontId="0" fillId="5" borderId="40" xfId="0" applyNumberFormat="1" applyFill="1" applyBorder="1" applyAlignment="1">
      <alignment horizontal="left" vertical="center" indent="1"/>
    </xf>
    <xf numFmtId="169" fontId="0" fillId="7" borderId="48" xfId="0" applyNumberFormat="1" applyFill="1" applyBorder="1" applyAlignment="1">
      <alignment horizontal="center" vertical="center"/>
    </xf>
    <xf numFmtId="169" fontId="0" fillId="0" borderId="48" xfId="0" applyNumberFormat="1" applyBorder="1" applyAlignment="1">
      <alignment horizontal="center" vertical="center"/>
    </xf>
    <xf numFmtId="0" fontId="0" fillId="0" borderId="35" xfId="0" applyBorder="1" applyAlignment="1">
      <alignment horizontal="left" vertical="center"/>
    </xf>
    <xf numFmtId="0" fontId="0" fillId="0" borderId="0" xfId="0" applyAlignment="1">
      <alignment horizontal="left" vertical="center"/>
    </xf>
    <xf numFmtId="0" fontId="0" fillId="0" borderId="39" xfId="0" applyBorder="1" applyAlignment="1">
      <alignment horizontal="left" vertical="center"/>
    </xf>
    <xf numFmtId="0" fontId="33" fillId="10" borderId="43" xfId="0" applyFont="1" applyFill="1" applyBorder="1" applyAlignment="1">
      <alignment horizontal="center" vertical="center" wrapText="1"/>
    </xf>
    <xf numFmtId="1" fontId="33" fillId="10" borderId="43" xfId="0" applyNumberFormat="1" applyFont="1" applyFill="1" applyBorder="1" applyAlignment="1">
      <alignment horizontal="center" vertical="center" wrapText="1"/>
    </xf>
    <xf numFmtId="0" fontId="33" fillId="10" borderId="0" xfId="0" applyFont="1" applyFill="1" applyAlignment="1">
      <alignment horizontal="center" vertical="center" wrapText="1"/>
    </xf>
    <xf numFmtId="0" fontId="1" fillId="12" borderId="15" xfId="0" applyFont="1" applyFill="1" applyBorder="1" applyAlignment="1">
      <alignment horizontal="left" vertical="center" indent="1"/>
    </xf>
    <xf numFmtId="0" fontId="0" fillId="12" borderId="3" xfId="0" applyFill="1" applyBorder="1" applyAlignment="1">
      <alignment horizontal="left" vertical="center" indent="1"/>
    </xf>
    <xf numFmtId="0" fontId="0" fillId="7" borderId="28" xfId="0" applyFill="1" applyBorder="1" applyAlignment="1">
      <alignment horizontal="left" vertical="center" indent="1"/>
    </xf>
    <xf numFmtId="0" fontId="0" fillId="7" borderId="34" xfId="0" applyFill="1" applyBorder="1" applyAlignment="1">
      <alignment horizontal="left" vertical="center" indent="1"/>
    </xf>
    <xf numFmtId="0" fontId="0" fillId="7" borderId="29" xfId="0" applyFill="1" applyBorder="1" applyAlignment="1">
      <alignment horizontal="left" vertical="center" indent="1"/>
    </xf>
    <xf numFmtId="0" fontId="0" fillId="7" borderId="13" xfId="0" applyFill="1" applyBorder="1" applyAlignment="1">
      <alignment horizontal="left" vertical="center" indent="1"/>
    </xf>
    <xf numFmtId="0" fontId="0" fillId="7" borderId="0" xfId="0" applyFill="1" applyAlignment="1">
      <alignment horizontal="left" vertical="center" indent="1"/>
    </xf>
    <xf numFmtId="0" fontId="0" fillId="0" borderId="0" xfId="0" applyAlignment="1">
      <alignment horizontal="left"/>
    </xf>
    <xf numFmtId="0" fontId="0" fillId="7" borderId="41" xfId="0" applyFill="1" applyBorder="1" applyAlignment="1">
      <alignment horizontal="left" vertical="center" wrapText="1"/>
    </xf>
    <xf numFmtId="0" fontId="0" fillId="7" borderId="2" xfId="0" applyFill="1" applyBorder="1" applyAlignment="1">
      <alignment horizontal="left" vertical="center" wrapText="1"/>
    </xf>
    <xf numFmtId="0" fontId="0" fillId="7" borderId="69" xfId="0" applyFill="1" applyBorder="1" applyAlignment="1">
      <alignment horizontal="left" vertical="center" wrapText="1"/>
    </xf>
    <xf numFmtId="183" fontId="0" fillId="6" borderId="39" xfId="0" applyNumberFormat="1" applyFill="1" applyBorder="1"/>
    <xf numFmtId="191" fontId="0" fillId="13" borderId="31" xfId="0" applyNumberFormat="1" applyFill="1" applyBorder="1" applyAlignment="1" applyProtection="1">
      <alignment horizontal="center" vertical="center"/>
      <protection locked="0"/>
    </xf>
    <xf numFmtId="0" fontId="0" fillId="0" borderId="0" xfId="0" quotePrefix="1"/>
    <xf numFmtId="0" fontId="0" fillId="7" borderId="0" xfId="0" applyFill="1" applyAlignment="1">
      <alignment horizontal="left" vertical="center" wrapText="1"/>
    </xf>
    <xf numFmtId="1" fontId="1" fillId="7" borderId="0" xfId="0" applyNumberFormat="1" applyFont="1" applyFill="1" applyAlignment="1">
      <alignment horizontal="center" vertical="center"/>
    </xf>
    <xf numFmtId="0" fontId="0" fillId="7" borderId="0" xfId="0" applyFill="1"/>
    <xf numFmtId="10" fontId="1" fillId="7" borderId="0" xfId="0" applyNumberFormat="1" applyFont="1" applyFill="1" applyAlignment="1">
      <alignment horizontal="center" vertical="center" wrapText="1"/>
    </xf>
    <xf numFmtId="183" fontId="0" fillId="6" borderId="36" xfId="0" applyNumberFormat="1" applyFill="1" applyBorder="1"/>
    <xf numFmtId="166" fontId="1" fillId="7" borderId="0" xfId="0" applyNumberFormat="1" applyFont="1" applyFill="1" applyAlignment="1">
      <alignment horizontal="center" vertical="center"/>
    </xf>
    <xf numFmtId="0" fontId="0" fillId="12" borderId="32" xfId="0" applyFill="1" applyBorder="1" applyAlignment="1">
      <alignment horizontal="left" vertical="center" indent="1"/>
    </xf>
    <xf numFmtId="1" fontId="0" fillId="5" borderId="64" xfId="0" applyNumberFormat="1" applyFill="1" applyBorder="1" applyAlignment="1">
      <alignment horizontal="center" vertical="center"/>
    </xf>
    <xf numFmtId="0" fontId="0" fillId="12" borderId="32" xfId="0" applyFill="1" applyBorder="1" applyAlignment="1">
      <alignment horizontal="center" vertical="center"/>
    </xf>
    <xf numFmtId="1" fontId="0" fillId="5" borderId="23" xfId="0" applyNumberFormat="1" applyFill="1" applyBorder="1" applyAlignment="1">
      <alignment horizontal="center" vertical="center"/>
    </xf>
    <xf numFmtId="0" fontId="0" fillId="12" borderId="19" xfId="0" applyFill="1" applyBorder="1" applyAlignment="1">
      <alignment horizontal="left" vertical="center" indent="1"/>
    </xf>
    <xf numFmtId="1" fontId="0" fillId="5" borderId="35" xfId="0" applyNumberFormat="1" applyFill="1" applyBorder="1" applyAlignment="1">
      <alignment horizontal="center" vertical="center"/>
    </xf>
    <xf numFmtId="0" fontId="0" fillId="12" borderId="19" xfId="0" applyFill="1" applyBorder="1" applyAlignment="1">
      <alignment horizontal="center" vertical="center"/>
    </xf>
    <xf numFmtId="1" fontId="0" fillId="5" borderId="39" xfId="0" applyNumberFormat="1" applyFill="1" applyBorder="1" applyAlignment="1">
      <alignment horizontal="center" vertical="center"/>
    </xf>
    <xf numFmtId="194" fontId="0" fillId="0" borderId="39" xfId="3" applyNumberFormat="1" applyFont="1" applyBorder="1" applyProtection="1"/>
    <xf numFmtId="194" fontId="0" fillId="0" borderId="39" xfId="0" applyNumberFormat="1" applyBorder="1"/>
    <xf numFmtId="0" fontId="0" fillId="12" borderId="42" xfId="0" applyFill="1" applyBorder="1" applyAlignment="1">
      <alignment horizontal="center" vertical="center"/>
    </xf>
    <xf numFmtId="194" fontId="0" fillId="6" borderId="39" xfId="0" applyNumberFormat="1" applyFill="1" applyBorder="1"/>
    <xf numFmtId="1" fontId="0" fillId="5" borderId="30" xfId="0" applyNumberFormat="1" applyFill="1" applyBorder="1" applyAlignment="1">
      <alignment horizontal="center" vertical="center"/>
    </xf>
    <xf numFmtId="1" fontId="0" fillId="5" borderId="47" xfId="0" applyNumberFormat="1" applyFill="1" applyBorder="1" applyAlignment="1">
      <alignment horizontal="center" vertical="center"/>
    </xf>
    <xf numFmtId="0" fontId="0" fillId="12" borderId="24" xfId="0" applyFill="1" applyBorder="1" applyAlignment="1">
      <alignment horizontal="left" vertical="center" indent="1"/>
    </xf>
    <xf numFmtId="1" fontId="0" fillId="5" borderId="44" xfId="0" applyNumberFormat="1" applyFill="1" applyBorder="1" applyAlignment="1">
      <alignment horizontal="center" vertical="center"/>
    </xf>
    <xf numFmtId="0" fontId="0" fillId="12" borderId="29" xfId="0" applyFill="1" applyBorder="1" applyAlignment="1">
      <alignment horizontal="center" vertical="center"/>
    </xf>
    <xf numFmtId="0" fontId="0" fillId="12" borderId="36" xfId="0" applyFill="1" applyBorder="1" applyAlignment="1">
      <alignment horizontal="center" vertical="center"/>
    </xf>
    <xf numFmtId="1" fontId="0" fillId="5" borderId="36" xfId="0" applyNumberFormat="1" applyFill="1" applyBorder="1" applyAlignment="1">
      <alignment horizontal="center" vertical="center"/>
    </xf>
    <xf numFmtId="0" fontId="1" fillId="12" borderId="3" xfId="0" applyFont="1" applyFill="1" applyBorder="1" applyAlignment="1">
      <alignment horizontal="left" vertical="center" indent="1"/>
    </xf>
    <xf numFmtId="0" fontId="1" fillId="12" borderId="71" xfId="0" applyFont="1" applyFill="1" applyBorder="1" applyAlignment="1">
      <alignment horizontal="center" vertical="center"/>
    </xf>
    <xf numFmtId="2" fontId="13" fillId="12" borderId="32" xfId="0" applyNumberFormat="1" applyFont="1" applyFill="1" applyBorder="1" applyAlignment="1">
      <alignment horizontal="left" vertical="center" indent="1"/>
    </xf>
    <xf numFmtId="2" fontId="13" fillId="12" borderId="22" xfId="0" applyNumberFormat="1" applyFont="1" applyFill="1" applyBorder="1" applyAlignment="1">
      <alignment horizontal="left" vertical="center" indent="1"/>
    </xf>
    <xf numFmtId="194" fontId="0" fillId="6" borderId="36" xfId="0" applyNumberFormat="1" applyFill="1" applyBorder="1"/>
    <xf numFmtId="2" fontId="13" fillId="12" borderId="19" xfId="0" applyNumberFormat="1" applyFont="1" applyFill="1" applyBorder="1" applyAlignment="1">
      <alignment horizontal="left" vertical="center" indent="1"/>
    </xf>
    <xf numFmtId="2" fontId="13" fillId="12" borderId="0" xfId="0" applyNumberFormat="1" applyFont="1" applyFill="1" applyAlignment="1">
      <alignment horizontal="left" vertical="center" indent="1"/>
    </xf>
    <xf numFmtId="2" fontId="13" fillId="12" borderId="42" xfId="0" applyNumberFormat="1" applyFont="1" applyFill="1" applyBorder="1" applyAlignment="1">
      <alignment horizontal="left" vertical="center" indent="1"/>
    </xf>
    <xf numFmtId="2" fontId="13" fillId="12" borderId="24" xfId="0" applyNumberFormat="1" applyFont="1" applyFill="1" applyBorder="1" applyAlignment="1">
      <alignment horizontal="left" vertical="center" indent="1"/>
    </xf>
    <xf numFmtId="2" fontId="13" fillId="12" borderId="5" xfId="0" applyNumberFormat="1" applyFont="1" applyFill="1" applyBorder="1" applyAlignment="1">
      <alignment horizontal="left" vertical="center" indent="1"/>
    </xf>
    <xf numFmtId="194" fontId="0" fillId="0" borderId="36" xfId="0" applyNumberFormat="1" applyBorder="1"/>
    <xf numFmtId="1" fontId="0" fillId="7" borderId="0" xfId="0" applyNumberFormat="1" applyFill="1"/>
    <xf numFmtId="2" fontId="1" fillId="7" borderId="0" xfId="0" applyNumberFormat="1" applyFont="1" applyFill="1"/>
    <xf numFmtId="0" fontId="25" fillId="8" borderId="52" xfId="0" applyFont="1" applyFill="1" applyBorder="1" applyAlignment="1">
      <alignment vertical="center" wrapText="1"/>
    </xf>
    <xf numFmtId="0" fontId="25" fillId="8" borderId="54" xfId="0" applyFont="1" applyFill="1" applyBorder="1" applyAlignment="1">
      <alignment vertical="center" wrapText="1"/>
    </xf>
    <xf numFmtId="0" fontId="25" fillId="8" borderId="57" xfId="0" applyFont="1" applyFill="1" applyBorder="1" applyAlignment="1">
      <alignment vertical="center" wrapText="1"/>
    </xf>
    <xf numFmtId="166" fontId="13" fillId="5" borderId="58" xfId="0" applyNumberFormat="1" applyFont="1" applyFill="1" applyBorder="1" applyAlignment="1">
      <alignment horizontal="center" vertical="center"/>
    </xf>
    <xf numFmtId="169" fontId="13" fillId="5" borderId="47" xfId="0" applyNumberFormat="1" applyFont="1" applyFill="1" applyBorder="1" applyAlignment="1">
      <alignment horizontal="center" vertical="center"/>
    </xf>
    <xf numFmtId="1" fontId="0" fillId="4" borderId="48" xfId="0" applyNumberFormat="1" applyFill="1" applyBorder="1" applyAlignment="1">
      <alignment horizontal="center" vertical="center"/>
    </xf>
    <xf numFmtId="0" fontId="0" fillId="0" borderId="0" xfId="0" applyAlignment="1">
      <alignment vertical="center"/>
    </xf>
    <xf numFmtId="0" fontId="0" fillId="0" borderId="25" xfId="0" applyBorder="1" applyAlignment="1">
      <alignment vertical="center"/>
    </xf>
    <xf numFmtId="0" fontId="0" fillId="0" borderId="0" xfId="0" applyProtection="1">
      <protection hidden="1"/>
    </xf>
    <xf numFmtId="0" fontId="1" fillId="0" borderId="0" xfId="0" applyFont="1" applyAlignment="1" applyProtection="1">
      <alignment horizontal="right"/>
      <protection hidden="1"/>
    </xf>
    <xf numFmtId="0" fontId="39" fillId="0" borderId="0" xfId="0" applyFont="1" applyProtection="1">
      <protection hidden="1"/>
    </xf>
    <xf numFmtId="0" fontId="34" fillId="0" borderId="0" xfId="0" applyFont="1" applyProtection="1">
      <protection hidden="1"/>
    </xf>
    <xf numFmtId="0" fontId="3" fillId="0" borderId="0" xfId="0" applyFont="1" applyProtection="1">
      <protection hidden="1"/>
    </xf>
    <xf numFmtId="0" fontId="3" fillId="0" borderId="0" xfId="0" applyFont="1" applyAlignment="1" applyProtection="1">
      <alignment horizontal="right"/>
      <protection hidden="1"/>
    </xf>
    <xf numFmtId="0" fontId="1" fillId="0" borderId="0" xfId="0" applyFont="1" applyProtection="1">
      <protection hidden="1"/>
    </xf>
    <xf numFmtId="0" fontId="17" fillId="0" borderId="6" xfId="1" applyFont="1" applyFill="1" applyBorder="1" applyAlignment="1" applyProtection="1">
      <alignment horizontal="left" indent="1"/>
      <protection hidden="1"/>
    </xf>
    <xf numFmtId="0" fontId="17" fillId="0" borderId="34" xfId="1" applyFont="1" applyFill="1" applyBorder="1" applyAlignment="1" applyProtection="1">
      <alignment horizontal="left" indent="1"/>
      <protection hidden="1"/>
    </xf>
    <xf numFmtId="0" fontId="17" fillId="0" borderId="37" xfId="1" applyFont="1" applyFill="1" applyBorder="1" applyAlignment="1" applyProtection="1">
      <protection hidden="1"/>
    </xf>
    <xf numFmtId="0" fontId="0" fillId="0" borderId="34" xfId="0" applyBorder="1" applyAlignment="1" applyProtection="1">
      <alignment horizontal="left" indent="1"/>
      <protection hidden="1"/>
    </xf>
    <xf numFmtId="0" fontId="6" fillId="0" borderId="34" xfId="0" applyFont="1" applyBorder="1" applyProtection="1">
      <protection hidden="1"/>
    </xf>
    <xf numFmtId="0" fontId="6" fillId="0" borderId="37" xfId="0" applyFont="1" applyBorder="1" applyProtection="1">
      <protection hidden="1"/>
    </xf>
    <xf numFmtId="0" fontId="6" fillId="0" borderId="0" xfId="0" applyFont="1" applyProtection="1">
      <protection hidden="1"/>
    </xf>
    <xf numFmtId="0" fontId="35" fillId="0" borderId="0" xfId="0" applyFont="1" applyAlignment="1" applyProtection="1">
      <alignment vertical="center" wrapText="1"/>
      <protection hidden="1"/>
    </xf>
    <xf numFmtId="0" fontId="17" fillId="0" borderId="35" xfId="0" applyFont="1" applyBorder="1" applyAlignment="1" applyProtection="1">
      <alignment horizontal="left" indent="1"/>
      <protection hidden="1"/>
    </xf>
    <xf numFmtId="0" fontId="17" fillId="0" borderId="0" xfId="0" applyFont="1" applyAlignment="1" applyProtection="1">
      <alignment horizontal="left" indent="1"/>
      <protection hidden="1"/>
    </xf>
    <xf numFmtId="0" fontId="17" fillId="0" borderId="25" xfId="0" applyFont="1" applyBorder="1" applyProtection="1">
      <protection hidden="1"/>
    </xf>
    <xf numFmtId="0" fontId="0" fillId="0" borderId="0" xfId="0" applyAlignment="1" applyProtection="1">
      <alignment horizontal="left" indent="1"/>
      <protection hidden="1"/>
    </xf>
    <xf numFmtId="0" fontId="6" fillId="0" borderId="25" xfId="0" applyFont="1" applyBorder="1" applyProtection="1">
      <protection hidden="1"/>
    </xf>
    <xf numFmtId="0" fontId="0" fillId="0" borderId="6" xfId="1" applyFont="1" applyFill="1" applyBorder="1" applyAlignment="1" applyProtection="1">
      <alignment horizontal="left" indent="1"/>
      <protection hidden="1"/>
    </xf>
    <xf numFmtId="0" fontId="0" fillId="0" borderId="6" xfId="0" applyBorder="1" applyAlignment="1" applyProtection="1">
      <alignment horizontal="left" vertical="center" indent="1"/>
      <protection hidden="1"/>
    </xf>
    <xf numFmtId="0" fontId="0" fillId="0" borderId="37" xfId="0" applyBorder="1" applyAlignment="1" applyProtection="1">
      <alignment horizontal="left" vertical="center" indent="1"/>
      <protection hidden="1"/>
    </xf>
    <xf numFmtId="0" fontId="0" fillId="0" borderId="34" xfId="0" applyBorder="1" applyAlignment="1" applyProtection="1">
      <alignment horizontal="left" vertical="center" indent="1"/>
      <protection hidden="1"/>
    </xf>
    <xf numFmtId="0" fontId="6" fillId="0" borderId="34" xfId="0" applyFont="1" applyBorder="1" applyAlignment="1" applyProtection="1">
      <alignment horizontal="left" vertical="center" indent="1"/>
      <protection hidden="1"/>
    </xf>
    <xf numFmtId="0" fontId="6" fillId="0" borderId="37" xfId="0" applyFont="1" applyBorder="1" applyAlignment="1" applyProtection="1">
      <alignment horizontal="left" vertical="center" indent="1"/>
      <protection hidden="1"/>
    </xf>
    <xf numFmtId="0" fontId="0" fillId="0" borderId="6" xfId="0" applyBorder="1" applyAlignment="1" applyProtection="1">
      <alignment horizontal="left" indent="1"/>
      <protection hidden="1"/>
    </xf>
    <xf numFmtId="0" fontId="17" fillId="0" borderId="34" xfId="0" applyFont="1" applyBorder="1" applyAlignment="1" applyProtection="1">
      <alignment horizontal="left" indent="1"/>
      <protection hidden="1"/>
    </xf>
    <xf numFmtId="0" fontId="17" fillId="0" borderId="37" xfId="0" applyFont="1" applyBorder="1" applyProtection="1">
      <protection hidden="1"/>
    </xf>
    <xf numFmtId="0" fontId="0" fillId="0" borderId="35" xfId="0" applyBorder="1" applyAlignment="1" applyProtection="1">
      <alignment horizontal="left" indent="1"/>
      <protection hidden="1"/>
    </xf>
    <xf numFmtId="0" fontId="17" fillId="0" borderId="6" xfId="1" quotePrefix="1" applyFont="1" applyFill="1" applyBorder="1" applyAlignment="1" applyProtection="1">
      <alignment horizontal="left" indent="1"/>
      <protection hidden="1"/>
    </xf>
    <xf numFmtId="0" fontId="17" fillId="0" borderId="65" xfId="0" applyFont="1" applyBorder="1" applyAlignment="1" applyProtection="1">
      <alignment horizontal="left" indent="1"/>
      <protection hidden="1"/>
    </xf>
    <xf numFmtId="0" fontId="17" fillId="0" borderId="18" xfId="0" applyFont="1" applyBorder="1" applyAlignment="1" applyProtection="1">
      <alignment horizontal="left" indent="1"/>
      <protection hidden="1"/>
    </xf>
    <xf numFmtId="0" fontId="17" fillId="0" borderId="20" xfId="0" applyFont="1" applyBorder="1" applyProtection="1">
      <protection hidden="1"/>
    </xf>
    <xf numFmtId="0" fontId="0" fillId="0" borderId="18" xfId="0" applyBorder="1" applyAlignment="1" applyProtection="1">
      <alignment horizontal="left" indent="1"/>
      <protection hidden="1"/>
    </xf>
    <xf numFmtId="0" fontId="0" fillId="0" borderId="18" xfId="0" applyBorder="1" applyProtection="1">
      <protection hidden="1"/>
    </xf>
    <xf numFmtId="0" fontId="17" fillId="0" borderId="6" xfId="0" applyFont="1" applyBorder="1" applyAlignment="1" applyProtection="1">
      <alignment horizontal="left" indent="1"/>
      <protection hidden="1"/>
    </xf>
    <xf numFmtId="0" fontId="0" fillId="0" borderId="34" xfId="0" applyBorder="1" applyProtection="1">
      <protection hidden="1"/>
    </xf>
    <xf numFmtId="0" fontId="0" fillId="0" borderId="37" xfId="0" applyBorder="1" applyProtection="1">
      <protection hidden="1"/>
    </xf>
    <xf numFmtId="0" fontId="6" fillId="0" borderId="0" xfId="0" applyFont="1" applyAlignment="1" applyProtection="1">
      <alignment wrapText="1"/>
      <protection hidden="1"/>
    </xf>
    <xf numFmtId="0" fontId="3" fillId="0" borderId="0" xfId="0" applyFont="1" applyAlignment="1" applyProtection="1">
      <alignment horizontal="right" wrapText="1"/>
      <protection hidden="1"/>
    </xf>
    <xf numFmtId="0" fontId="0" fillId="0" borderId="0" xfId="0" applyAlignment="1" applyProtection="1">
      <alignment horizontal="left"/>
      <protection hidden="1"/>
    </xf>
    <xf numFmtId="0" fontId="0" fillId="0" borderId="18" xfId="0" applyBorder="1" applyAlignment="1" applyProtection="1">
      <alignment horizontal="left" vertical="center" indent="1"/>
      <protection hidden="1"/>
    </xf>
    <xf numFmtId="0" fontId="35" fillId="0" borderId="0" xfId="0" applyFont="1" applyAlignment="1" applyProtection="1">
      <alignment horizontal="center" vertical="center" wrapText="1"/>
      <protection hidden="1"/>
    </xf>
    <xf numFmtId="0" fontId="0" fillId="0" borderId="0" xfId="0" applyAlignment="1" applyProtection="1">
      <alignment horizontal="left" vertical="center" indent="1"/>
      <protection hidden="1"/>
    </xf>
    <xf numFmtId="0" fontId="0" fillId="0" borderId="25" xfId="0" applyBorder="1" applyAlignment="1" applyProtection="1">
      <alignment horizontal="left" vertical="center" indent="1"/>
      <protection hidden="1"/>
    </xf>
    <xf numFmtId="0" fontId="0" fillId="0" borderId="0" xfId="0" applyAlignment="1" applyProtection="1">
      <alignment horizontal="left" wrapText="1" indent="1"/>
      <protection hidden="1"/>
    </xf>
    <xf numFmtId="0" fontId="0" fillId="0" borderId="20" xfId="0" applyBorder="1" applyAlignment="1" applyProtection="1">
      <alignment horizontal="left" vertical="center" indent="1"/>
      <protection hidden="1"/>
    </xf>
    <xf numFmtId="0" fontId="1" fillId="0" borderId="18" xfId="0" applyFont="1" applyBorder="1" applyAlignment="1" applyProtection="1">
      <alignment horizontal="right"/>
      <protection hidden="1"/>
    </xf>
    <xf numFmtId="0" fontId="0" fillId="7" borderId="0" xfId="0" applyFill="1" applyProtection="1">
      <protection hidden="1"/>
    </xf>
    <xf numFmtId="0" fontId="0" fillId="0" borderId="37" xfId="0" applyBorder="1" applyAlignment="1" applyProtection="1">
      <alignment horizontal="left" indent="1"/>
      <protection hidden="1"/>
    </xf>
    <xf numFmtId="0" fontId="0" fillId="0" borderId="35" xfId="0" applyBorder="1" applyAlignment="1" applyProtection="1">
      <alignment horizontal="left" vertical="center" indent="1"/>
      <protection hidden="1"/>
    </xf>
    <xf numFmtId="0" fontId="0" fillId="0" borderId="25" xfId="0" applyBorder="1" applyAlignment="1" applyProtection="1">
      <alignment horizontal="left" indent="1"/>
      <protection hidden="1"/>
    </xf>
    <xf numFmtId="0" fontId="35" fillId="0" borderId="0" xfId="0" applyFont="1" applyAlignment="1" applyProtection="1">
      <alignment horizontal="left"/>
      <protection hidden="1"/>
    </xf>
    <xf numFmtId="0" fontId="35" fillId="0" borderId="0" xfId="0" applyFont="1" applyProtection="1">
      <protection hidden="1"/>
    </xf>
    <xf numFmtId="0" fontId="0" fillId="0" borderId="74" xfId="0" applyBorder="1" applyAlignment="1" applyProtection="1">
      <alignment horizontal="left" vertical="center"/>
      <protection hidden="1"/>
    </xf>
    <xf numFmtId="0" fontId="0" fillId="0" borderId="38" xfId="0" applyBorder="1" applyAlignment="1" applyProtection="1">
      <alignment horizontal="left" vertical="center"/>
      <protection hidden="1"/>
    </xf>
    <xf numFmtId="0" fontId="0" fillId="0" borderId="26" xfId="0" applyBorder="1" applyAlignment="1" applyProtection="1">
      <alignment horizontal="left" vertical="center"/>
      <protection hidden="1"/>
    </xf>
    <xf numFmtId="0" fontId="0" fillId="0" borderId="6" xfId="0" applyBorder="1" applyProtection="1">
      <protection hidden="1"/>
    </xf>
    <xf numFmtId="0" fontId="0" fillId="7" borderId="1" xfId="0" applyFill="1" applyBorder="1" applyAlignment="1" applyProtection="1">
      <alignment horizontal="left" vertical="center" indent="1"/>
      <protection hidden="1"/>
    </xf>
    <xf numFmtId="0" fontId="0" fillId="0" borderId="25" xfId="0" applyBorder="1" applyProtection="1">
      <protection hidden="1"/>
    </xf>
    <xf numFmtId="0" fontId="0" fillId="0" borderId="74" xfId="0" applyBorder="1" applyAlignment="1" applyProtection="1">
      <alignment horizontal="left" vertical="center" indent="1"/>
      <protection hidden="1"/>
    </xf>
    <xf numFmtId="0" fontId="0" fillId="0" borderId="38" xfId="0" applyBorder="1" applyAlignment="1" applyProtection="1">
      <alignment horizontal="left" vertical="center" indent="1"/>
      <protection hidden="1"/>
    </xf>
    <xf numFmtId="0" fontId="0" fillId="0" borderId="26" xfId="0" applyBorder="1" applyAlignment="1" applyProtection="1">
      <alignment horizontal="left" vertical="center" indent="1"/>
      <protection hidden="1"/>
    </xf>
    <xf numFmtId="0" fontId="0" fillId="0" borderId="35" xfId="0" applyBorder="1" applyAlignment="1" applyProtection="1">
      <alignment horizontal="left" vertical="center" wrapText="1" indent="1"/>
      <protection hidden="1"/>
    </xf>
    <xf numFmtId="0" fontId="0" fillId="0" borderId="0" xfId="0" applyAlignment="1" applyProtection="1">
      <alignment horizontal="left" vertical="center" wrapText="1" indent="1"/>
      <protection hidden="1"/>
    </xf>
    <xf numFmtId="0" fontId="0" fillId="0" borderId="25" xfId="0" applyBorder="1" applyAlignment="1" applyProtection="1">
      <alignment horizontal="left" vertical="center" wrapText="1" indent="1"/>
      <protection hidden="1"/>
    </xf>
    <xf numFmtId="0" fontId="0" fillId="0" borderId="6" xfId="0" applyBorder="1" applyAlignment="1" applyProtection="1">
      <alignment horizontal="left" vertical="center" wrapText="1" indent="1"/>
      <protection hidden="1"/>
    </xf>
    <xf numFmtId="0" fontId="0" fillId="0" borderId="34" xfId="0" applyBorder="1" applyAlignment="1" applyProtection="1">
      <alignment horizontal="left" vertical="center" wrapText="1" indent="1"/>
      <protection hidden="1"/>
    </xf>
    <xf numFmtId="0" fontId="0" fillId="0" borderId="37" xfId="0" applyBorder="1" applyAlignment="1" applyProtection="1">
      <alignment horizontal="left" vertical="center" wrapText="1" indent="1"/>
      <protection hidden="1"/>
    </xf>
    <xf numFmtId="0" fontId="0" fillId="0" borderId="65" xfId="0" applyBorder="1" applyAlignment="1" applyProtection="1">
      <alignment horizontal="left" vertical="center" indent="1"/>
      <protection hidden="1"/>
    </xf>
    <xf numFmtId="0" fontId="0" fillId="0" borderId="0" xfId="0" applyAlignment="1" applyProtection="1">
      <alignment horizontal="center"/>
      <protection hidden="1"/>
    </xf>
    <xf numFmtId="0" fontId="5" fillId="0" borderId="0" xfId="1" applyFont="1" applyFill="1" applyAlignment="1" applyProtection="1">
      <alignment horizontal="left"/>
      <protection hidden="1"/>
    </xf>
    <xf numFmtId="0" fontId="6" fillId="0" borderId="0" xfId="0" applyFont="1" applyAlignment="1" applyProtection="1">
      <alignment horizontal="left"/>
      <protection hidden="1"/>
    </xf>
    <xf numFmtId="0" fontId="3" fillId="0" borderId="5" xfId="0" applyFont="1" applyBorder="1" applyProtection="1">
      <protection hidden="1"/>
    </xf>
    <xf numFmtId="0" fontId="6" fillId="0" borderId="0" xfId="0" applyFont="1" applyProtection="1">
      <protection locked="0" hidden="1"/>
    </xf>
    <xf numFmtId="0" fontId="27" fillId="0" borderId="0" xfId="1" applyFont="1" applyFill="1" applyAlignment="1" applyProtection="1">
      <alignment horizontal="left" indent="1"/>
      <protection hidden="1"/>
    </xf>
    <xf numFmtId="0" fontId="27" fillId="0" borderId="0" xfId="1" applyFont="1" applyFill="1" applyAlignment="1" applyProtection="1">
      <protection hidden="1"/>
    </xf>
    <xf numFmtId="0" fontId="7" fillId="0" borderId="0" xfId="0" applyFont="1" applyProtection="1">
      <protection hidden="1"/>
    </xf>
    <xf numFmtId="0" fontId="8" fillId="0" borderId="0" xfId="1" applyFont="1" applyFill="1" applyAlignment="1" applyProtection="1">
      <protection hidden="1"/>
    </xf>
    <xf numFmtId="0" fontId="30" fillId="3" borderId="45" xfId="0" applyFont="1" applyFill="1" applyBorder="1" applyAlignment="1" applyProtection="1">
      <alignment horizontal="center"/>
      <protection hidden="1"/>
    </xf>
    <xf numFmtId="0" fontId="7" fillId="0" borderId="0" xfId="0" applyFont="1" applyAlignment="1" applyProtection="1">
      <alignment horizontal="left" indent="1"/>
      <protection hidden="1"/>
    </xf>
    <xf numFmtId="0" fontId="9" fillId="0" borderId="0" xfId="0" applyFont="1" applyAlignment="1" applyProtection="1">
      <alignment horizontal="left" vertical="center"/>
      <protection hidden="1"/>
    </xf>
    <xf numFmtId="0" fontId="15" fillId="0" borderId="0" xfId="0" quotePrefix="1" applyFont="1" applyAlignment="1" applyProtection="1">
      <alignment horizontal="right" vertical="center"/>
      <protection hidden="1"/>
    </xf>
    <xf numFmtId="0" fontId="7" fillId="13" borderId="60" xfId="0" applyFont="1" applyFill="1" applyBorder="1" applyAlignment="1" applyProtection="1">
      <alignment horizontal="center" vertical="center"/>
      <protection hidden="1"/>
    </xf>
    <xf numFmtId="0" fontId="7" fillId="5" borderId="61" xfId="0" applyFont="1" applyFill="1" applyBorder="1" applyAlignment="1" applyProtection="1">
      <alignment horizontal="center" vertical="center"/>
      <protection hidden="1"/>
    </xf>
    <xf numFmtId="0" fontId="7" fillId="4" borderId="61" xfId="0" applyFont="1" applyFill="1" applyBorder="1" applyAlignment="1" applyProtection="1">
      <alignment horizontal="center" vertical="center"/>
      <protection hidden="1"/>
    </xf>
    <xf numFmtId="0" fontId="15" fillId="0" borderId="0" xfId="0" applyFont="1" applyAlignment="1" applyProtection="1">
      <alignment horizontal="right" vertical="center"/>
      <protection hidden="1"/>
    </xf>
    <xf numFmtId="0" fontId="7" fillId="9" borderId="61" xfId="0" applyFont="1" applyFill="1" applyBorder="1" applyAlignment="1" applyProtection="1">
      <alignment horizontal="center"/>
      <protection hidden="1"/>
    </xf>
    <xf numFmtId="0" fontId="30" fillId="11" borderId="62" xfId="0" applyFont="1" applyFill="1" applyBorder="1" applyAlignment="1" applyProtection="1">
      <alignment horizontal="center"/>
      <protection hidden="1"/>
    </xf>
    <xf numFmtId="0" fontId="9" fillId="0" borderId="0" xfId="0" applyFont="1" applyProtection="1">
      <protection hidden="1"/>
    </xf>
    <xf numFmtId="0" fontId="27" fillId="0" borderId="0" xfId="1" applyFont="1" applyFill="1" applyBorder="1" applyAlignment="1" applyProtection="1">
      <alignment horizontal="right" vertical="center"/>
      <protection locked="0" hidden="1"/>
    </xf>
    <xf numFmtId="0" fontId="26" fillId="0" borderId="0" xfId="2" applyProtection="1">
      <protection hidden="1"/>
    </xf>
    <xf numFmtId="0" fontId="8" fillId="0" borderId="0" xfId="1" applyFont="1" applyFill="1" applyBorder="1" applyAlignment="1" applyProtection="1">
      <alignment vertical="center"/>
      <protection hidden="1"/>
    </xf>
    <xf numFmtId="0" fontId="7" fillId="0" borderId="0" xfId="2" applyFont="1" applyProtection="1">
      <protection hidden="1"/>
    </xf>
    <xf numFmtId="0" fontId="27" fillId="0" borderId="0" xfId="1" applyFont="1" applyFill="1" applyProtection="1">
      <protection hidden="1"/>
    </xf>
    <xf numFmtId="0" fontId="4" fillId="0" borderId="0" xfId="1" applyFill="1" applyAlignment="1" applyProtection="1">
      <protection hidden="1"/>
    </xf>
    <xf numFmtId="0" fontId="5" fillId="0" borderId="0" xfId="1" applyFont="1" applyFill="1" applyBorder="1" applyAlignment="1" applyProtection="1">
      <alignment horizontal="center" vertical="center"/>
      <protection hidden="1"/>
    </xf>
    <xf numFmtId="0" fontId="14" fillId="0" borderId="18" xfId="0" applyFont="1" applyBorder="1" applyProtection="1">
      <protection hidden="1"/>
    </xf>
    <xf numFmtId="0" fontId="1" fillId="0" borderId="6" xfId="0" applyFont="1" applyBorder="1" applyAlignment="1" applyProtection="1">
      <alignment horizontal="center"/>
      <protection hidden="1"/>
    </xf>
    <xf numFmtId="0" fontId="1" fillId="0" borderId="34" xfId="0" applyFont="1" applyBorder="1" applyAlignment="1" applyProtection="1">
      <alignment horizontal="center"/>
      <protection hidden="1"/>
    </xf>
    <xf numFmtId="0" fontId="1" fillId="0" borderId="7" xfId="0" applyFont="1" applyBorder="1" applyAlignment="1" applyProtection="1">
      <alignment horizontal="center"/>
      <protection hidden="1"/>
    </xf>
    <xf numFmtId="0" fontId="1" fillId="0" borderId="17" xfId="0" applyFont="1" applyBorder="1" applyAlignment="1" applyProtection="1">
      <alignment horizontal="center"/>
      <protection hidden="1"/>
    </xf>
    <xf numFmtId="0" fontId="1" fillId="0" borderId="18" xfId="0" applyFont="1" applyBorder="1" applyAlignment="1" applyProtection="1">
      <alignment horizontal="center"/>
      <protection hidden="1"/>
    </xf>
    <xf numFmtId="0" fontId="0" fillId="0" borderId="18" xfId="0" applyBorder="1" applyAlignment="1" applyProtection="1">
      <alignment horizontal="left"/>
      <protection hidden="1"/>
    </xf>
    <xf numFmtId="49" fontId="0" fillId="5" borderId="6" xfId="0" applyNumberFormat="1" applyFill="1" applyBorder="1" applyAlignment="1" applyProtection="1">
      <alignment horizontal="center"/>
      <protection hidden="1"/>
    </xf>
    <xf numFmtId="49" fontId="0" fillId="5" borderId="7" xfId="0" applyNumberFormat="1" applyFill="1" applyBorder="1" applyAlignment="1" applyProtection="1">
      <alignment horizontal="center"/>
      <protection hidden="1"/>
    </xf>
    <xf numFmtId="0" fontId="0" fillId="5" borderId="7" xfId="0" applyFill="1" applyBorder="1" applyAlignment="1" applyProtection="1">
      <alignment horizontal="center"/>
      <protection hidden="1"/>
    </xf>
    <xf numFmtId="49" fontId="0" fillId="5" borderId="17" xfId="0" applyNumberFormat="1" applyFill="1" applyBorder="1" applyAlignment="1" applyProtection="1">
      <alignment horizontal="center"/>
      <protection hidden="1"/>
    </xf>
    <xf numFmtId="0" fontId="0" fillId="5" borderId="0" xfId="0" applyFill="1" applyAlignment="1" applyProtection="1">
      <alignment horizontal="center"/>
      <protection hidden="1"/>
    </xf>
    <xf numFmtId="0" fontId="0" fillId="0" borderId="0" xfId="0" quotePrefix="1" applyProtection="1">
      <protection hidden="1"/>
    </xf>
    <xf numFmtId="0" fontId="0" fillId="0" borderId="37" xfId="0" applyBorder="1" applyAlignment="1" applyProtection="1">
      <alignment horizontal="left"/>
      <protection hidden="1"/>
    </xf>
    <xf numFmtId="49" fontId="0" fillId="5" borderId="35" xfId="0" applyNumberFormat="1" applyFill="1" applyBorder="1" applyAlignment="1" applyProtection="1">
      <alignment horizontal="center"/>
      <protection hidden="1"/>
    </xf>
    <xf numFmtId="10" fontId="17" fillId="5" borderId="34" xfId="0" applyNumberFormat="1" applyFont="1" applyFill="1" applyBorder="1" applyAlignment="1" applyProtection="1">
      <alignment horizontal="center"/>
      <protection hidden="1"/>
    </xf>
    <xf numFmtId="165" fontId="17" fillId="5" borderId="34" xfId="0" applyNumberFormat="1" applyFont="1" applyFill="1" applyBorder="1" applyAlignment="1" applyProtection="1">
      <alignment horizontal="center"/>
      <protection hidden="1"/>
    </xf>
    <xf numFmtId="166" fontId="17" fillId="5" borderId="34" xfId="0" applyNumberFormat="1" applyFont="1" applyFill="1" applyBorder="1" applyAlignment="1" applyProtection="1">
      <alignment horizontal="center"/>
      <protection hidden="1"/>
    </xf>
    <xf numFmtId="167" fontId="17" fillId="5" borderId="34" xfId="0" applyNumberFormat="1" applyFont="1" applyFill="1" applyBorder="1" applyAlignment="1" applyProtection="1">
      <alignment horizontal="center"/>
      <protection hidden="1"/>
    </xf>
    <xf numFmtId="175" fontId="18" fillId="5" borderId="34" xfId="0" applyNumberFormat="1" applyFont="1" applyFill="1" applyBorder="1" applyAlignment="1" applyProtection="1">
      <alignment horizontal="center"/>
      <protection hidden="1"/>
    </xf>
    <xf numFmtId="176" fontId="2" fillId="5" borderId="34" xfId="0" applyNumberFormat="1" applyFont="1" applyFill="1" applyBorder="1" applyAlignment="1" applyProtection="1">
      <alignment horizontal="center"/>
      <protection hidden="1"/>
    </xf>
    <xf numFmtId="172" fontId="18" fillId="5" borderId="34" xfId="0" applyNumberFormat="1" applyFont="1" applyFill="1" applyBorder="1" applyAlignment="1" applyProtection="1">
      <alignment horizontal="center"/>
      <protection hidden="1"/>
    </xf>
    <xf numFmtId="172" fontId="2" fillId="5" borderId="34" xfId="0" applyNumberFormat="1" applyFont="1" applyFill="1" applyBorder="1" applyAlignment="1" applyProtection="1">
      <alignment horizontal="center"/>
      <protection hidden="1"/>
    </xf>
    <xf numFmtId="172" fontId="2" fillId="5" borderId="7" xfId="0" applyNumberFormat="1" applyFont="1" applyFill="1" applyBorder="1" applyAlignment="1" applyProtection="1">
      <alignment horizontal="center"/>
      <protection hidden="1"/>
    </xf>
    <xf numFmtId="187" fontId="2" fillId="5" borderId="18" xfId="0" applyNumberFormat="1" applyFont="1" applyFill="1" applyBorder="1" applyAlignment="1" applyProtection="1">
      <alignment horizontal="center"/>
      <protection hidden="1"/>
    </xf>
    <xf numFmtId="168" fontId="0" fillId="5" borderId="37" xfId="0" applyNumberFormat="1" applyFill="1" applyBorder="1" applyAlignment="1" applyProtection="1">
      <alignment horizontal="center"/>
      <protection hidden="1"/>
    </xf>
    <xf numFmtId="0" fontId="17" fillId="5" borderId="0" xfId="0" applyFont="1" applyFill="1" applyAlignment="1" applyProtection="1">
      <alignment horizontal="center"/>
      <protection hidden="1"/>
    </xf>
    <xf numFmtId="0" fontId="0" fillId="0" borderId="25" xfId="0" applyBorder="1" applyAlignment="1" applyProtection="1">
      <alignment horizontal="left"/>
      <protection hidden="1"/>
    </xf>
    <xf numFmtId="166" fontId="13" fillId="5" borderId="34" xfId="0" applyNumberFormat="1" applyFont="1" applyFill="1" applyBorder="1" applyAlignment="1" applyProtection="1">
      <alignment horizontal="center"/>
      <protection hidden="1"/>
    </xf>
    <xf numFmtId="177" fontId="17" fillId="5" borderId="26" xfId="0" applyNumberFormat="1" applyFont="1" applyFill="1" applyBorder="1" applyAlignment="1" applyProtection="1">
      <alignment horizontal="center"/>
      <protection hidden="1"/>
    </xf>
    <xf numFmtId="0" fontId="37" fillId="5" borderId="0" xfId="0" applyFont="1" applyFill="1" applyAlignment="1" applyProtection="1">
      <alignment horizontal="center"/>
      <protection hidden="1"/>
    </xf>
    <xf numFmtId="0" fontId="0" fillId="0" borderId="7" xfId="0" applyBorder="1" applyAlignment="1" applyProtection="1">
      <alignment horizontal="left"/>
      <protection hidden="1"/>
    </xf>
    <xf numFmtId="10" fontId="0" fillId="5" borderId="18" xfId="0" applyNumberFormat="1" applyFill="1" applyBorder="1" applyAlignment="1" applyProtection="1">
      <alignment horizontal="center"/>
      <protection hidden="1"/>
    </xf>
    <xf numFmtId="165" fontId="0" fillId="5" borderId="18" xfId="0" applyNumberFormat="1" applyFill="1" applyBorder="1" applyAlignment="1" applyProtection="1">
      <alignment horizontal="center"/>
      <protection hidden="1"/>
    </xf>
    <xf numFmtId="166" fontId="0" fillId="5" borderId="18" xfId="0" applyNumberFormat="1" applyFill="1" applyBorder="1" applyAlignment="1" applyProtection="1">
      <alignment horizontal="center"/>
      <protection hidden="1"/>
    </xf>
    <xf numFmtId="167" fontId="0" fillId="5" borderId="18" xfId="0" applyNumberFormat="1" applyFill="1" applyBorder="1" applyAlignment="1" applyProtection="1">
      <alignment horizontal="center"/>
      <protection hidden="1"/>
    </xf>
    <xf numFmtId="175" fontId="2" fillId="5" borderId="18" xfId="0" applyNumberFormat="1" applyFont="1" applyFill="1" applyBorder="1" applyAlignment="1" applyProtection="1">
      <alignment horizontal="center"/>
      <protection hidden="1"/>
    </xf>
    <xf numFmtId="0" fontId="0" fillId="0" borderId="17" xfId="0" applyBorder="1" applyAlignment="1" applyProtection="1">
      <alignment horizontal="left"/>
      <protection hidden="1"/>
    </xf>
    <xf numFmtId="10" fontId="0" fillId="5" borderId="34" xfId="0" applyNumberFormat="1" applyFill="1" applyBorder="1" applyAlignment="1" applyProtection="1">
      <alignment horizontal="center"/>
      <protection hidden="1"/>
    </xf>
    <xf numFmtId="165" fontId="0" fillId="5" borderId="34" xfId="0" applyNumberFormat="1" applyFill="1" applyBorder="1" applyAlignment="1" applyProtection="1">
      <alignment horizontal="center"/>
      <protection hidden="1"/>
    </xf>
    <xf numFmtId="166" fontId="0" fillId="5" borderId="34" xfId="0" applyNumberFormat="1" applyFill="1" applyBorder="1" applyAlignment="1" applyProtection="1">
      <alignment horizontal="center"/>
      <protection hidden="1"/>
    </xf>
    <xf numFmtId="167" fontId="0" fillId="5" borderId="34" xfId="0" applyNumberFormat="1" applyFill="1" applyBorder="1" applyAlignment="1" applyProtection="1">
      <alignment horizontal="center"/>
      <protection hidden="1"/>
    </xf>
    <xf numFmtId="175" fontId="2" fillId="5" borderId="34" xfId="0" applyNumberFormat="1" applyFont="1" applyFill="1" applyBorder="1" applyAlignment="1" applyProtection="1">
      <alignment horizontal="center"/>
      <protection hidden="1"/>
    </xf>
    <xf numFmtId="176" fontId="2" fillId="5" borderId="38" xfId="0" applyNumberFormat="1" applyFont="1" applyFill="1" applyBorder="1" applyAlignment="1" applyProtection="1">
      <alignment horizontal="center"/>
      <protection hidden="1"/>
    </xf>
    <xf numFmtId="172" fontId="2" fillId="5" borderId="38" xfId="0" applyNumberFormat="1" applyFont="1" applyFill="1" applyBorder="1" applyAlignment="1" applyProtection="1">
      <alignment horizontal="center"/>
      <protection hidden="1"/>
    </xf>
    <xf numFmtId="172" fontId="2" fillId="5" borderId="18" xfId="0" applyNumberFormat="1" applyFont="1" applyFill="1" applyBorder="1" applyAlignment="1" applyProtection="1">
      <alignment horizontal="center"/>
      <protection hidden="1"/>
    </xf>
    <xf numFmtId="168" fontId="0" fillId="5" borderId="20" xfId="0" applyNumberFormat="1" applyFill="1" applyBorder="1" applyAlignment="1" applyProtection="1">
      <alignment horizontal="center"/>
      <protection hidden="1"/>
    </xf>
    <xf numFmtId="0" fontId="0" fillId="0" borderId="20" xfId="0" applyBorder="1" applyAlignment="1" applyProtection="1">
      <alignment horizontal="left"/>
      <protection hidden="1"/>
    </xf>
    <xf numFmtId="176" fontId="18" fillId="5" borderId="38" xfId="0" applyNumberFormat="1" applyFont="1" applyFill="1" applyBorder="1" applyAlignment="1" applyProtection="1">
      <alignment horizontal="center"/>
      <protection hidden="1"/>
    </xf>
    <xf numFmtId="10" fontId="0" fillId="5" borderId="7" xfId="0" applyNumberFormat="1" applyFill="1" applyBorder="1" applyAlignment="1" applyProtection="1">
      <alignment horizontal="center"/>
      <protection hidden="1"/>
    </xf>
    <xf numFmtId="165" fontId="0" fillId="5" borderId="7" xfId="0" applyNumberFormat="1" applyFill="1" applyBorder="1" applyAlignment="1" applyProtection="1">
      <alignment horizontal="center"/>
      <protection hidden="1"/>
    </xf>
    <xf numFmtId="166" fontId="0" fillId="5" borderId="7" xfId="0" applyNumberFormat="1" applyFill="1" applyBorder="1" applyAlignment="1" applyProtection="1">
      <alignment horizontal="center"/>
      <protection hidden="1"/>
    </xf>
    <xf numFmtId="167" fontId="0" fillId="5" borderId="7" xfId="0" applyNumberFormat="1" applyFill="1" applyBorder="1" applyAlignment="1" applyProtection="1">
      <alignment horizontal="center"/>
      <protection hidden="1"/>
    </xf>
    <xf numFmtId="175" fontId="2" fillId="5" borderId="7" xfId="0" applyNumberFormat="1" applyFont="1" applyFill="1" applyBorder="1" applyAlignment="1" applyProtection="1">
      <alignment horizontal="center"/>
      <protection hidden="1"/>
    </xf>
    <xf numFmtId="168" fontId="0" fillId="5" borderId="17" xfId="0" applyNumberFormat="1" applyFill="1" applyBorder="1" applyAlignment="1" applyProtection="1">
      <alignment horizontal="center"/>
      <protection hidden="1"/>
    </xf>
    <xf numFmtId="0" fontId="0" fillId="0" borderId="6" xfId="0" applyBorder="1" applyAlignment="1" applyProtection="1">
      <alignment horizontal="left"/>
      <protection hidden="1"/>
    </xf>
    <xf numFmtId="10" fontId="0" fillId="5" borderId="38" xfId="0" applyNumberFormat="1" applyFill="1" applyBorder="1" applyAlignment="1" applyProtection="1">
      <alignment horizontal="center"/>
      <protection hidden="1"/>
    </xf>
    <xf numFmtId="188" fontId="0" fillId="5" borderId="38" xfId="0" applyNumberFormat="1" applyFill="1" applyBorder="1" applyAlignment="1" applyProtection="1">
      <alignment horizontal="center"/>
      <protection hidden="1"/>
    </xf>
    <xf numFmtId="166" fontId="0" fillId="5" borderId="38" xfId="0" applyNumberFormat="1" applyFill="1" applyBorder="1" applyAlignment="1" applyProtection="1">
      <alignment horizontal="center"/>
      <protection hidden="1"/>
    </xf>
    <xf numFmtId="167" fontId="0" fillId="5" borderId="38" xfId="0" applyNumberFormat="1" applyFill="1" applyBorder="1" applyAlignment="1" applyProtection="1">
      <alignment horizontal="center"/>
      <protection hidden="1"/>
    </xf>
    <xf numFmtId="165" fontId="0" fillId="5" borderId="38" xfId="0" applyNumberFormat="1" applyFill="1" applyBorder="1" applyAlignment="1" applyProtection="1">
      <alignment horizontal="center"/>
      <protection hidden="1"/>
    </xf>
    <xf numFmtId="175" fontId="2" fillId="5" borderId="38" xfId="0" applyNumberFormat="1" applyFont="1" applyFill="1" applyBorder="1" applyAlignment="1" applyProtection="1">
      <alignment horizontal="center"/>
      <protection hidden="1"/>
    </xf>
    <xf numFmtId="172" fontId="0" fillId="5" borderId="21" xfId="0" applyNumberFormat="1" applyFill="1" applyBorder="1" applyAlignment="1" applyProtection="1">
      <alignment horizontal="center"/>
      <protection hidden="1"/>
    </xf>
    <xf numFmtId="168" fontId="0" fillId="5" borderId="26" xfId="0" applyNumberFormat="1" applyFill="1" applyBorder="1" applyAlignment="1" applyProtection="1">
      <alignment horizontal="center"/>
      <protection hidden="1"/>
    </xf>
    <xf numFmtId="10" fontId="17" fillId="5" borderId="21" xfId="0" applyNumberFormat="1" applyFont="1" applyFill="1" applyBorder="1" applyAlignment="1" applyProtection="1">
      <alignment horizontal="center"/>
      <protection hidden="1"/>
    </xf>
    <xf numFmtId="165" fontId="17" fillId="5" borderId="21" xfId="0" applyNumberFormat="1" applyFont="1" applyFill="1" applyBorder="1" applyAlignment="1" applyProtection="1">
      <alignment horizontal="center"/>
      <protection hidden="1"/>
    </xf>
    <xf numFmtId="166" fontId="13" fillId="5" borderId="21" xfId="0" applyNumberFormat="1" applyFont="1" applyFill="1" applyBorder="1" applyAlignment="1" applyProtection="1">
      <alignment horizontal="center"/>
      <protection hidden="1"/>
    </xf>
    <xf numFmtId="166" fontId="17" fillId="5" borderId="21" xfId="0" applyNumberFormat="1" applyFont="1" applyFill="1" applyBorder="1" applyAlignment="1" applyProtection="1">
      <alignment horizontal="center"/>
      <protection hidden="1"/>
    </xf>
    <xf numFmtId="167" fontId="17" fillId="5" borderId="21" xfId="0" applyNumberFormat="1" applyFont="1" applyFill="1" applyBorder="1" applyAlignment="1" applyProtection="1">
      <alignment horizontal="center"/>
      <protection hidden="1"/>
    </xf>
    <xf numFmtId="175" fontId="18" fillId="5" borderId="21" xfId="0" applyNumberFormat="1" applyFont="1" applyFill="1" applyBorder="1" applyAlignment="1" applyProtection="1">
      <alignment horizontal="center"/>
      <protection hidden="1"/>
    </xf>
    <xf numFmtId="172" fontId="18" fillId="5" borderId="7" xfId="0" applyNumberFormat="1" applyFont="1" applyFill="1" applyBorder="1" applyAlignment="1" applyProtection="1">
      <alignment horizontal="center"/>
      <protection hidden="1"/>
    </xf>
    <xf numFmtId="172" fontId="18" fillId="5" borderId="21" xfId="0" applyNumberFormat="1" applyFont="1" applyFill="1" applyBorder="1" applyAlignment="1" applyProtection="1">
      <alignment horizontal="center"/>
      <protection hidden="1"/>
    </xf>
    <xf numFmtId="0" fontId="0" fillId="0" borderId="1" xfId="0" applyBorder="1" applyAlignment="1" applyProtection="1">
      <alignment horizontal="left"/>
      <protection hidden="1"/>
    </xf>
    <xf numFmtId="166" fontId="13" fillId="5" borderId="7" xfId="0" applyNumberFormat="1" applyFont="1" applyFill="1" applyBorder="1" applyAlignment="1" applyProtection="1">
      <alignment horizontal="center"/>
      <protection hidden="1"/>
    </xf>
    <xf numFmtId="177" fontId="0" fillId="5" borderId="37" xfId="0" applyNumberFormat="1" applyFill="1" applyBorder="1" applyAlignment="1" applyProtection="1">
      <alignment horizontal="center"/>
      <protection hidden="1"/>
    </xf>
    <xf numFmtId="10" fontId="17" fillId="5" borderId="7" xfId="0" applyNumberFormat="1" applyFont="1" applyFill="1" applyBorder="1" applyAlignment="1" applyProtection="1">
      <alignment horizontal="center"/>
      <protection hidden="1"/>
    </xf>
    <xf numFmtId="168" fontId="17" fillId="5" borderId="37" xfId="0" applyNumberFormat="1" applyFont="1" applyFill="1" applyBorder="1" applyAlignment="1" applyProtection="1">
      <alignment horizontal="center"/>
      <protection hidden="1"/>
    </xf>
    <xf numFmtId="49" fontId="17" fillId="5" borderId="6" xfId="0" applyNumberFormat="1" applyFont="1" applyFill="1" applyBorder="1" applyAlignment="1" applyProtection="1">
      <alignment horizontal="center"/>
      <protection hidden="1"/>
    </xf>
    <xf numFmtId="168" fontId="17" fillId="5" borderId="26" xfId="0" applyNumberFormat="1" applyFont="1" applyFill="1" applyBorder="1" applyAlignment="1" applyProtection="1">
      <alignment horizontal="center"/>
      <protection hidden="1"/>
    </xf>
    <xf numFmtId="164" fontId="17" fillId="5" borderId="21" xfId="0" applyNumberFormat="1" applyFont="1" applyFill="1" applyBorder="1" applyAlignment="1" applyProtection="1">
      <alignment horizontal="center"/>
      <protection hidden="1"/>
    </xf>
    <xf numFmtId="174" fontId="17" fillId="5" borderId="21" xfId="0" applyNumberFormat="1" applyFont="1" applyFill="1" applyBorder="1" applyAlignment="1" applyProtection="1">
      <alignment horizontal="center"/>
      <protection hidden="1"/>
    </xf>
    <xf numFmtId="173" fontId="17" fillId="5" borderId="26" xfId="0" applyNumberFormat="1" applyFont="1" applyFill="1" applyBorder="1" applyAlignment="1" applyProtection="1">
      <alignment horizontal="center"/>
      <protection hidden="1"/>
    </xf>
    <xf numFmtId="10" fontId="0" fillId="5" borderId="21" xfId="0" applyNumberFormat="1" applyFill="1" applyBorder="1" applyAlignment="1" applyProtection="1">
      <alignment horizontal="center"/>
      <protection hidden="1"/>
    </xf>
    <xf numFmtId="165" fontId="0" fillId="5" borderId="21" xfId="0" applyNumberFormat="1" applyFill="1" applyBorder="1" applyAlignment="1" applyProtection="1">
      <alignment horizontal="center"/>
      <protection hidden="1"/>
    </xf>
    <xf numFmtId="166" fontId="0" fillId="5" borderId="21" xfId="0" applyNumberFormat="1" applyFill="1" applyBorder="1" applyAlignment="1" applyProtection="1">
      <alignment horizontal="center"/>
      <protection hidden="1"/>
    </xf>
    <xf numFmtId="167" fontId="0" fillId="5" borderId="21" xfId="0" applyNumberFormat="1" applyFill="1" applyBorder="1" applyAlignment="1" applyProtection="1">
      <alignment horizontal="center"/>
      <protection hidden="1"/>
    </xf>
    <xf numFmtId="175" fontId="2" fillId="5" borderId="21" xfId="0" applyNumberFormat="1" applyFont="1" applyFill="1" applyBorder="1" applyAlignment="1" applyProtection="1">
      <alignment horizontal="center"/>
      <protection hidden="1"/>
    </xf>
    <xf numFmtId="172" fontId="2" fillId="5" borderId="21" xfId="0" applyNumberFormat="1" applyFont="1" applyFill="1" applyBorder="1" applyAlignment="1" applyProtection="1">
      <alignment horizontal="center"/>
      <protection hidden="1"/>
    </xf>
    <xf numFmtId="172" fontId="32" fillId="5" borderId="34" xfId="0" applyNumberFormat="1" applyFont="1" applyFill="1" applyBorder="1" applyAlignment="1" applyProtection="1">
      <alignment horizontal="center"/>
      <protection hidden="1"/>
    </xf>
    <xf numFmtId="172" fontId="32" fillId="5" borderId="38" xfId="0" applyNumberFormat="1" applyFont="1" applyFill="1" applyBorder="1" applyAlignment="1" applyProtection="1">
      <alignment horizontal="center"/>
      <protection hidden="1"/>
    </xf>
    <xf numFmtId="168" fontId="31" fillId="5" borderId="37" xfId="0" applyNumberFormat="1" applyFont="1" applyFill="1" applyBorder="1" applyAlignment="1" applyProtection="1">
      <alignment horizontal="center"/>
      <protection hidden="1"/>
    </xf>
    <xf numFmtId="10" fontId="31" fillId="5" borderId="34" xfId="0" applyNumberFormat="1" applyFont="1" applyFill="1" applyBorder="1" applyAlignment="1" applyProtection="1">
      <alignment horizontal="center"/>
      <protection hidden="1"/>
    </xf>
    <xf numFmtId="165" fontId="31" fillId="5" borderId="34" xfId="0" applyNumberFormat="1" applyFont="1" applyFill="1" applyBorder="1" applyAlignment="1" applyProtection="1">
      <alignment horizontal="center"/>
      <protection hidden="1"/>
    </xf>
    <xf numFmtId="166" fontId="31" fillId="5" borderId="34" xfId="0" applyNumberFormat="1" applyFont="1" applyFill="1" applyBorder="1" applyAlignment="1" applyProtection="1">
      <alignment horizontal="center"/>
      <protection hidden="1"/>
    </xf>
    <xf numFmtId="167" fontId="31" fillId="5" borderId="34" xfId="0" applyNumberFormat="1" applyFont="1" applyFill="1" applyBorder="1" applyAlignment="1" applyProtection="1">
      <alignment horizontal="center"/>
      <protection hidden="1"/>
    </xf>
    <xf numFmtId="175" fontId="32" fillId="5" borderId="34" xfId="0" applyNumberFormat="1" applyFont="1" applyFill="1" applyBorder="1" applyAlignment="1" applyProtection="1">
      <alignment horizontal="center"/>
      <protection hidden="1"/>
    </xf>
    <xf numFmtId="175" fontId="32" fillId="5" borderId="38" xfId="0" applyNumberFormat="1" applyFont="1" applyFill="1" applyBorder="1" applyAlignment="1" applyProtection="1">
      <alignment horizontal="center"/>
      <protection hidden="1"/>
    </xf>
    <xf numFmtId="0" fontId="31" fillId="5" borderId="0" xfId="0" applyFont="1" applyFill="1" applyAlignment="1" applyProtection="1">
      <alignment horizontal="center"/>
      <protection hidden="1"/>
    </xf>
    <xf numFmtId="176" fontId="32" fillId="5" borderId="38" xfId="0" applyNumberFormat="1" applyFont="1" applyFill="1" applyBorder="1" applyAlignment="1" applyProtection="1">
      <alignment horizontal="center"/>
      <protection hidden="1"/>
    </xf>
    <xf numFmtId="10" fontId="37" fillId="5" borderId="34" xfId="0" applyNumberFormat="1" applyFont="1" applyFill="1" applyBorder="1" applyAlignment="1" applyProtection="1">
      <alignment horizontal="center"/>
      <protection hidden="1"/>
    </xf>
    <xf numFmtId="165" fontId="37" fillId="5" borderId="34" xfId="0" applyNumberFormat="1" applyFont="1" applyFill="1" applyBorder="1" applyAlignment="1" applyProtection="1">
      <alignment horizontal="center"/>
      <protection hidden="1"/>
    </xf>
    <xf numFmtId="166" fontId="37" fillId="5" borderId="34" xfId="0" applyNumberFormat="1" applyFont="1" applyFill="1" applyBorder="1" applyAlignment="1" applyProtection="1">
      <alignment horizontal="center"/>
      <protection hidden="1"/>
    </xf>
    <xf numFmtId="167" fontId="37" fillId="5" borderId="34" xfId="0" applyNumberFormat="1" applyFont="1" applyFill="1" applyBorder="1" applyAlignment="1" applyProtection="1">
      <alignment horizontal="center"/>
      <protection hidden="1"/>
    </xf>
    <xf numFmtId="175" fontId="38" fillId="5" borderId="34" xfId="0" applyNumberFormat="1" applyFont="1" applyFill="1" applyBorder="1" applyAlignment="1" applyProtection="1">
      <alignment horizontal="center"/>
      <protection hidden="1"/>
    </xf>
    <xf numFmtId="175" fontId="38" fillId="5" borderId="38" xfId="0" applyNumberFormat="1" applyFont="1" applyFill="1" applyBorder="1" applyAlignment="1" applyProtection="1">
      <alignment horizontal="center"/>
      <protection hidden="1"/>
    </xf>
    <xf numFmtId="172" fontId="38" fillId="5" borderId="34" xfId="0" applyNumberFormat="1" applyFont="1" applyFill="1" applyBorder="1" applyAlignment="1" applyProtection="1">
      <alignment horizontal="center"/>
      <protection hidden="1"/>
    </xf>
    <xf numFmtId="172" fontId="38" fillId="5" borderId="38" xfId="0" applyNumberFormat="1" applyFont="1" applyFill="1" applyBorder="1" applyAlignment="1" applyProtection="1">
      <alignment horizontal="center"/>
      <protection hidden="1"/>
    </xf>
    <xf numFmtId="168" fontId="37" fillId="5" borderId="37" xfId="0" applyNumberFormat="1" applyFont="1" applyFill="1" applyBorder="1" applyAlignment="1" applyProtection="1">
      <alignment horizontal="center"/>
      <protection hidden="1"/>
    </xf>
    <xf numFmtId="175" fontId="38" fillId="5" borderId="0" xfId="0" applyNumberFormat="1" applyFont="1" applyFill="1" applyAlignment="1" applyProtection="1">
      <alignment horizontal="center"/>
      <protection hidden="1"/>
    </xf>
    <xf numFmtId="172" fontId="38" fillId="5" borderId="0" xfId="0" applyNumberFormat="1" applyFont="1" applyFill="1" applyAlignment="1" applyProtection="1">
      <alignment horizontal="center"/>
      <protection hidden="1"/>
    </xf>
    <xf numFmtId="165" fontId="0" fillId="0" borderId="0" xfId="0" applyNumberFormat="1" applyAlignment="1" applyProtection="1">
      <alignment horizontal="center"/>
      <protection hidden="1"/>
    </xf>
    <xf numFmtId="166" fontId="0" fillId="0" borderId="0" xfId="0" applyNumberFormat="1" applyAlignment="1" applyProtection="1">
      <alignment horizontal="center"/>
      <protection hidden="1"/>
    </xf>
    <xf numFmtId="167" fontId="0" fillId="0" borderId="0" xfId="0" applyNumberFormat="1" applyAlignment="1" applyProtection="1">
      <alignment horizontal="center"/>
      <protection hidden="1"/>
    </xf>
    <xf numFmtId="175" fontId="0" fillId="0" borderId="0" xfId="0" applyNumberFormat="1" applyAlignment="1" applyProtection="1">
      <alignment horizontal="center"/>
      <protection hidden="1"/>
    </xf>
    <xf numFmtId="172" fontId="0" fillId="0" borderId="0" xfId="0" applyNumberFormat="1" applyAlignment="1" applyProtection="1">
      <alignment horizontal="center"/>
      <protection hidden="1"/>
    </xf>
    <xf numFmtId="176" fontId="0" fillId="0" borderId="0" xfId="0" applyNumberFormat="1" applyAlignment="1" applyProtection="1">
      <alignment horizontal="center"/>
      <protection hidden="1"/>
    </xf>
    <xf numFmtId="168" fontId="0" fillId="0" borderId="0" xfId="0" applyNumberFormat="1" applyAlignment="1" applyProtection="1">
      <alignment horizontal="center"/>
      <protection hidden="1"/>
    </xf>
    <xf numFmtId="0" fontId="19" fillId="7" borderId="0" xfId="0" applyFont="1" applyFill="1" applyAlignment="1" applyProtection="1">
      <alignment horizontal="center" vertical="center" wrapText="1"/>
      <protection hidden="1"/>
    </xf>
    <xf numFmtId="49" fontId="0" fillId="5" borderId="34" xfId="0" applyNumberFormat="1" applyFill="1" applyBorder="1" applyAlignment="1" applyProtection="1">
      <alignment horizontal="center"/>
      <protection hidden="1"/>
    </xf>
    <xf numFmtId="0" fontId="41" fillId="5" borderId="0" xfId="0" applyFont="1" applyFill="1" applyAlignment="1" applyProtection="1">
      <alignment horizontal="center"/>
      <protection hidden="1"/>
    </xf>
    <xf numFmtId="49" fontId="0" fillId="5" borderId="0" xfId="0" applyNumberFormat="1" applyFill="1" applyAlignment="1" applyProtection="1">
      <alignment horizontal="center"/>
      <protection hidden="1"/>
    </xf>
    <xf numFmtId="0" fontId="1" fillId="9" borderId="19" xfId="0" applyFont="1" applyFill="1" applyBorder="1" applyAlignment="1">
      <alignment horizontal="center"/>
    </xf>
    <xf numFmtId="0" fontId="1" fillId="9" borderId="39" xfId="0" applyFont="1" applyFill="1" applyBorder="1" applyAlignment="1">
      <alignment horizontal="center"/>
    </xf>
    <xf numFmtId="0" fontId="42" fillId="10" borderId="43" xfId="0" applyFont="1" applyFill="1" applyBorder="1" applyAlignment="1">
      <alignment horizontal="center" vertical="center" wrapText="1"/>
    </xf>
    <xf numFmtId="1" fontId="42" fillId="10" borderId="43" xfId="0" applyNumberFormat="1" applyFont="1" applyFill="1" applyBorder="1" applyAlignment="1">
      <alignment horizontal="center" vertical="center" wrapText="1"/>
    </xf>
    <xf numFmtId="0" fontId="42" fillId="10" borderId="0" xfId="0" applyFont="1" applyFill="1" applyAlignment="1">
      <alignment horizontal="center" vertical="center" wrapText="1"/>
    </xf>
    <xf numFmtId="10" fontId="0" fillId="0" borderId="0" xfId="0" applyNumberFormat="1" applyAlignment="1">
      <alignment horizontal="center" vertical="center"/>
    </xf>
    <xf numFmtId="169" fontId="0" fillId="0" borderId="0" xfId="0" applyNumberFormat="1" applyAlignment="1">
      <alignment horizontal="center" vertical="center"/>
    </xf>
    <xf numFmtId="0" fontId="44" fillId="12" borderId="19" xfId="0" applyFont="1" applyFill="1" applyBorder="1" applyAlignment="1">
      <alignment horizontal="left" vertical="center" wrapText="1" indent="1"/>
    </xf>
    <xf numFmtId="0" fontId="44" fillId="12" borderId="0" xfId="0" applyFont="1" applyFill="1" applyAlignment="1">
      <alignment horizontal="left" vertical="center" wrapText="1" indent="2"/>
    </xf>
    <xf numFmtId="0" fontId="44" fillId="12" borderId="24" xfId="0" applyFont="1" applyFill="1" applyBorder="1" applyAlignment="1">
      <alignment horizontal="left" vertical="center" wrapText="1" indent="1"/>
    </xf>
    <xf numFmtId="0" fontId="44" fillId="12" borderId="5" xfId="0" applyFont="1" applyFill="1" applyBorder="1" applyAlignment="1">
      <alignment horizontal="left" vertical="center" wrapText="1" indent="2"/>
    </xf>
    <xf numFmtId="0" fontId="46" fillId="0" borderId="67" xfId="0" applyFont="1" applyBorder="1" applyAlignment="1" applyProtection="1">
      <alignment horizontal="center" vertical="center"/>
      <protection hidden="1"/>
    </xf>
    <xf numFmtId="0" fontId="46" fillId="0" borderId="65" xfId="0" applyFont="1" applyBorder="1" applyAlignment="1" applyProtection="1">
      <alignment horizontal="center" vertical="center"/>
      <protection hidden="1"/>
    </xf>
    <xf numFmtId="0" fontId="46" fillId="0" borderId="1" xfId="0" applyFont="1" applyBorder="1" applyAlignment="1" applyProtection="1">
      <alignment horizontal="center" vertical="center"/>
      <protection hidden="1"/>
    </xf>
    <xf numFmtId="0" fontId="46" fillId="0" borderId="6" xfId="0" applyFont="1" applyBorder="1" applyAlignment="1" applyProtection="1">
      <alignment horizontal="center" vertical="center"/>
      <protection hidden="1"/>
    </xf>
    <xf numFmtId="0" fontId="9" fillId="0" borderId="19" xfId="0" applyFont="1" applyBorder="1" applyAlignment="1" applyProtection="1">
      <alignment vertical="center"/>
      <protection hidden="1"/>
    </xf>
    <xf numFmtId="0" fontId="7" fillId="0" borderId="48" xfId="0" applyFont="1" applyBorder="1" applyAlignment="1" applyProtection="1">
      <alignment horizontal="center" vertical="center"/>
      <protection hidden="1"/>
    </xf>
    <xf numFmtId="0" fontId="7" fillId="0" borderId="0" xfId="0" applyFont="1" applyAlignment="1" applyProtection="1">
      <alignment horizontal="center" vertical="center"/>
      <protection hidden="1"/>
    </xf>
    <xf numFmtId="0" fontId="9" fillId="0" borderId="28" xfId="0" applyFont="1" applyBorder="1" applyAlignment="1" applyProtection="1">
      <alignment vertical="center"/>
      <protection hidden="1"/>
    </xf>
    <xf numFmtId="0" fontId="7" fillId="0" borderId="1" xfId="0" applyFont="1" applyBorder="1" applyAlignment="1" applyProtection="1">
      <alignment horizontal="center" vertical="center"/>
      <protection hidden="1"/>
    </xf>
    <xf numFmtId="0" fontId="7" fillId="0" borderId="34" xfId="0" applyFont="1" applyBorder="1" applyAlignment="1" applyProtection="1">
      <alignment horizontal="center" vertical="center"/>
      <protection hidden="1"/>
    </xf>
    <xf numFmtId="0" fontId="9" fillId="0" borderId="19" xfId="0" applyFont="1" applyBorder="1" applyAlignment="1" applyProtection="1">
      <alignment horizontal="left" vertical="center"/>
      <protection hidden="1"/>
    </xf>
    <xf numFmtId="0" fontId="9" fillId="0" borderId="28" xfId="0" applyFont="1" applyBorder="1" applyAlignment="1" applyProtection="1">
      <alignment horizontal="left" vertical="center"/>
      <protection hidden="1"/>
    </xf>
    <xf numFmtId="0" fontId="7" fillId="0" borderId="1" xfId="0" applyFont="1" applyBorder="1" applyAlignment="1" applyProtection="1">
      <alignment horizontal="center" vertical="center" wrapText="1"/>
      <protection hidden="1"/>
    </xf>
    <xf numFmtId="0" fontId="9" fillId="0" borderId="24" xfId="0" applyFont="1" applyBorder="1" applyAlignment="1" applyProtection="1">
      <alignment vertical="center"/>
      <protection hidden="1"/>
    </xf>
    <xf numFmtId="0" fontId="7" fillId="0" borderId="16" xfId="0" applyFont="1" applyBorder="1" applyAlignment="1" applyProtection="1">
      <alignment horizontal="center" vertical="center"/>
      <protection hidden="1"/>
    </xf>
    <xf numFmtId="0" fontId="7" fillId="0" borderId="5" xfId="0" applyFont="1" applyBorder="1" applyAlignment="1" applyProtection="1">
      <alignment horizontal="center" vertical="center"/>
      <protection hidden="1"/>
    </xf>
    <xf numFmtId="0" fontId="46" fillId="0" borderId="34" xfId="0" applyFont="1" applyBorder="1" applyAlignment="1" applyProtection="1">
      <alignment horizontal="left" vertical="center"/>
      <protection hidden="1"/>
    </xf>
    <xf numFmtId="0" fontId="46" fillId="0" borderId="8" xfId="0" applyFont="1" applyBorder="1" applyAlignment="1" applyProtection="1">
      <alignment horizontal="left" vertical="center"/>
      <protection hidden="1"/>
    </xf>
    <xf numFmtId="0" fontId="46" fillId="0" borderId="18" xfId="0" applyFont="1" applyBorder="1" applyAlignment="1" applyProtection="1">
      <alignment horizontal="left" vertical="center"/>
      <protection hidden="1"/>
    </xf>
    <xf numFmtId="0" fontId="46" fillId="0" borderId="63" xfId="0" applyFont="1" applyBorder="1" applyAlignment="1" applyProtection="1">
      <alignment horizontal="left" vertical="center"/>
      <protection hidden="1"/>
    </xf>
    <xf numFmtId="0" fontId="45" fillId="0" borderId="41" xfId="0" applyFont="1" applyBorder="1" applyAlignment="1" applyProtection="1">
      <alignment horizontal="left" vertical="center"/>
      <protection hidden="1"/>
    </xf>
    <xf numFmtId="0" fontId="45" fillId="0" borderId="2" xfId="0" applyFont="1" applyBorder="1" applyAlignment="1" applyProtection="1">
      <alignment horizontal="left" vertical="center"/>
      <protection hidden="1"/>
    </xf>
    <xf numFmtId="0" fontId="45" fillId="0" borderId="2" xfId="0" applyFont="1" applyBorder="1" applyAlignment="1" applyProtection="1">
      <alignment horizontal="left" vertical="center" wrapText="1"/>
      <protection hidden="1"/>
    </xf>
    <xf numFmtId="0" fontId="47" fillId="0" borderId="6" xfId="1" applyFont="1" applyFill="1" applyBorder="1" applyAlignment="1" applyProtection="1">
      <alignment horizontal="left" vertical="center"/>
      <protection hidden="1"/>
    </xf>
    <xf numFmtId="0" fontId="47" fillId="0" borderId="65" xfId="1" applyFont="1" applyFill="1" applyBorder="1" applyAlignment="1" applyProtection="1">
      <alignment horizontal="left" vertical="center"/>
      <protection hidden="1"/>
    </xf>
    <xf numFmtId="166" fontId="0" fillId="4" borderId="35" xfId="0" applyNumberFormat="1" applyFill="1" applyBorder="1" applyAlignment="1">
      <alignment horizontal="center" vertical="center"/>
    </xf>
    <xf numFmtId="0" fontId="1" fillId="12" borderId="3" xfId="0" applyFont="1" applyFill="1" applyBorder="1" applyAlignment="1">
      <alignment horizontal="center" vertical="center"/>
    </xf>
    <xf numFmtId="0" fontId="35" fillId="0" borderId="0" xfId="0" applyFont="1" applyAlignment="1">
      <alignment horizontal="left" indent="1"/>
    </xf>
    <xf numFmtId="0" fontId="0" fillId="7" borderId="42" xfId="0" applyFill="1" applyBorder="1" applyAlignment="1">
      <alignment horizontal="left" vertical="center" indent="1"/>
    </xf>
    <xf numFmtId="0" fontId="0" fillId="7" borderId="18" xfId="0" applyFill="1" applyBorder="1" applyAlignment="1">
      <alignment horizontal="left" vertical="center" indent="1"/>
    </xf>
    <xf numFmtId="49" fontId="0" fillId="5" borderId="65" xfId="0" applyNumberFormat="1" applyFill="1" applyBorder="1" applyAlignment="1" applyProtection="1">
      <alignment horizontal="center"/>
      <protection hidden="1"/>
    </xf>
    <xf numFmtId="198" fontId="2" fillId="5" borderId="34" xfId="0" applyNumberFormat="1" applyFont="1" applyFill="1" applyBorder="1" applyAlignment="1" applyProtection="1">
      <alignment horizontal="center"/>
      <protection hidden="1"/>
    </xf>
    <xf numFmtId="169" fontId="17" fillId="5" borderId="34" xfId="0" applyNumberFormat="1" applyFont="1" applyFill="1" applyBorder="1" applyAlignment="1" applyProtection="1">
      <alignment horizontal="center"/>
      <protection hidden="1"/>
    </xf>
    <xf numFmtId="198" fontId="2" fillId="5" borderId="38" xfId="0" applyNumberFormat="1" applyFont="1" applyFill="1" applyBorder="1" applyAlignment="1" applyProtection="1">
      <alignment horizontal="center"/>
      <protection hidden="1"/>
    </xf>
    <xf numFmtId="164" fontId="17" fillId="5" borderId="34" xfId="0" applyNumberFormat="1" applyFont="1" applyFill="1" applyBorder="1" applyAlignment="1" applyProtection="1">
      <alignment horizontal="center"/>
      <protection hidden="1"/>
    </xf>
    <xf numFmtId="173" fontId="17" fillId="5" borderId="37" xfId="0" applyNumberFormat="1" applyFont="1" applyFill="1" applyBorder="1" applyAlignment="1" applyProtection="1">
      <alignment horizontal="center"/>
      <protection hidden="1"/>
    </xf>
    <xf numFmtId="10" fontId="41" fillId="5" borderId="34" xfId="0" applyNumberFormat="1" applyFont="1" applyFill="1" applyBorder="1" applyAlignment="1" applyProtection="1">
      <alignment horizontal="center"/>
      <protection hidden="1"/>
    </xf>
    <xf numFmtId="165" fontId="41" fillId="5" borderId="34" xfId="0" applyNumberFormat="1" applyFont="1" applyFill="1" applyBorder="1" applyAlignment="1" applyProtection="1">
      <alignment horizontal="center"/>
      <protection hidden="1"/>
    </xf>
    <xf numFmtId="166" fontId="41" fillId="5" borderId="34" xfId="0" applyNumberFormat="1" applyFont="1" applyFill="1" applyBorder="1" applyAlignment="1" applyProtection="1">
      <alignment horizontal="center"/>
      <protection hidden="1"/>
    </xf>
    <xf numFmtId="167" fontId="41" fillId="5" borderId="34" xfId="0" applyNumberFormat="1" applyFont="1" applyFill="1" applyBorder="1" applyAlignment="1" applyProtection="1">
      <alignment horizontal="center"/>
      <protection hidden="1"/>
    </xf>
    <xf numFmtId="175" fontId="48" fillId="5" borderId="34" xfId="0" applyNumberFormat="1" applyFont="1" applyFill="1" applyBorder="1" applyAlignment="1" applyProtection="1">
      <alignment horizontal="center"/>
      <protection hidden="1"/>
    </xf>
    <xf numFmtId="175" fontId="48" fillId="5" borderId="38" xfId="0" applyNumberFormat="1" applyFont="1" applyFill="1" applyBorder="1" applyAlignment="1" applyProtection="1">
      <alignment horizontal="center"/>
      <protection hidden="1"/>
    </xf>
    <xf numFmtId="172" fontId="48" fillId="5" borderId="38" xfId="0" applyNumberFormat="1" applyFont="1" applyFill="1" applyBorder="1" applyAlignment="1" applyProtection="1">
      <alignment horizontal="center"/>
      <protection hidden="1"/>
    </xf>
    <xf numFmtId="168" fontId="41" fillId="5" borderId="37" xfId="0" applyNumberFormat="1" applyFont="1" applyFill="1" applyBorder="1" applyAlignment="1" applyProtection="1">
      <alignment horizontal="center"/>
      <protection hidden="1"/>
    </xf>
    <xf numFmtId="0" fontId="16" fillId="0" borderId="0" xfId="0" applyFont="1"/>
    <xf numFmtId="10" fontId="1" fillId="4" borderId="47" xfId="0" applyNumberFormat="1" applyFont="1" applyFill="1" applyBorder="1" applyAlignment="1">
      <alignment horizontal="center" vertical="center"/>
    </xf>
    <xf numFmtId="169" fontId="1" fillId="4" borderId="46" xfId="0" applyNumberFormat="1" applyFont="1" applyFill="1" applyBorder="1" applyAlignment="1">
      <alignment horizontal="center" vertical="center"/>
    </xf>
    <xf numFmtId="10" fontId="1" fillId="4" borderId="46" xfId="0" applyNumberFormat="1" applyFont="1" applyFill="1" applyBorder="1" applyAlignment="1">
      <alignment horizontal="center" vertical="center"/>
    </xf>
    <xf numFmtId="169" fontId="1" fillId="4" borderId="59" xfId="0" applyNumberFormat="1" applyFont="1" applyFill="1" applyBorder="1" applyAlignment="1">
      <alignment horizontal="center" vertical="center" wrapText="1"/>
    </xf>
    <xf numFmtId="0" fontId="35" fillId="0" borderId="0" xfId="0" applyFont="1"/>
    <xf numFmtId="0" fontId="35" fillId="7" borderId="0" xfId="0" applyFont="1" applyFill="1" applyAlignment="1">
      <alignment vertical="center"/>
    </xf>
    <xf numFmtId="0" fontId="0" fillId="0" borderId="22" xfId="0" applyBorder="1"/>
    <xf numFmtId="0" fontId="34" fillId="0" borderId="0" xfId="0" applyFont="1" applyAlignment="1">
      <alignment horizontal="left" indent="1"/>
    </xf>
    <xf numFmtId="0" fontId="35" fillId="7" borderId="39" xfId="0" applyFont="1" applyFill="1" applyBorder="1" applyAlignment="1">
      <alignment vertical="center"/>
    </xf>
    <xf numFmtId="0" fontId="0" fillId="0" borderId="0" xfId="0" quotePrefix="1" applyAlignment="1">
      <alignment horizontal="center"/>
    </xf>
    <xf numFmtId="0" fontId="35" fillId="0" borderId="39" xfId="0" applyFont="1" applyBorder="1"/>
    <xf numFmtId="1" fontId="1" fillId="4" borderId="47" xfId="0" applyNumberFormat="1" applyFont="1" applyFill="1" applyBorder="1" applyAlignment="1">
      <alignment horizontal="center" vertical="center"/>
    </xf>
    <xf numFmtId="166" fontId="1" fillId="4" borderId="46" xfId="0" applyNumberFormat="1" applyFont="1" applyFill="1" applyBorder="1" applyAlignment="1">
      <alignment horizontal="center" vertical="center" wrapText="1"/>
    </xf>
    <xf numFmtId="1" fontId="1" fillId="4" borderId="46" xfId="0" applyNumberFormat="1" applyFont="1" applyFill="1" applyBorder="1" applyAlignment="1">
      <alignment horizontal="center" vertical="center"/>
    </xf>
    <xf numFmtId="10" fontId="1" fillId="4" borderId="46" xfId="0" applyNumberFormat="1" applyFont="1" applyFill="1" applyBorder="1" applyAlignment="1">
      <alignment horizontal="center" vertical="center" wrapText="1"/>
    </xf>
    <xf numFmtId="166" fontId="1" fillId="4" borderId="59" xfId="0" applyNumberFormat="1" applyFont="1" applyFill="1" applyBorder="1" applyAlignment="1">
      <alignment horizontal="center" vertical="center"/>
    </xf>
    <xf numFmtId="1" fontId="0" fillId="4" borderId="16" xfId="0" applyNumberFormat="1" applyFill="1" applyBorder="1" applyAlignment="1">
      <alignment horizontal="center" vertical="center"/>
    </xf>
    <xf numFmtId="1" fontId="0" fillId="4" borderId="70" xfId="0" applyNumberFormat="1" applyFill="1" applyBorder="1" applyAlignment="1">
      <alignment horizontal="center" vertical="center"/>
    </xf>
    <xf numFmtId="192" fontId="0" fillId="4" borderId="58" xfId="0" applyNumberFormat="1" applyFill="1" applyBorder="1" applyAlignment="1">
      <alignment horizontal="center" vertical="center"/>
    </xf>
    <xf numFmtId="192" fontId="0" fillId="4" borderId="30" xfId="0" applyNumberFormat="1" applyFill="1" applyBorder="1" applyAlignment="1">
      <alignment horizontal="center" vertical="center"/>
    </xf>
    <xf numFmtId="192" fontId="0" fillId="4" borderId="31" xfId="0" applyNumberFormat="1" applyFill="1" applyBorder="1" applyAlignment="1">
      <alignment horizontal="center" vertical="center"/>
    </xf>
    <xf numFmtId="10" fontId="17" fillId="4" borderId="0" xfId="3" applyNumberFormat="1" applyFont="1" applyFill="1" applyBorder="1" applyAlignment="1" applyProtection="1">
      <alignment horizontal="center" vertical="center"/>
    </xf>
    <xf numFmtId="166" fontId="0" fillId="4" borderId="0" xfId="0" applyNumberFormat="1" applyFill="1" applyAlignment="1">
      <alignment horizontal="center" vertical="center"/>
    </xf>
    <xf numFmtId="0" fontId="1" fillId="12" borderId="4" xfId="0" applyFont="1" applyFill="1" applyBorder="1" applyAlignment="1">
      <alignment horizontal="left" vertical="center" indent="1"/>
    </xf>
    <xf numFmtId="4" fontId="2" fillId="5" borderId="18" xfId="0" applyNumberFormat="1" applyFont="1" applyFill="1" applyBorder="1" applyAlignment="1" applyProtection="1">
      <alignment horizontal="center"/>
      <protection hidden="1"/>
    </xf>
    <xf numFmtId="4" fontId="18" fillId="5" borderId="38" xfId="0" applyNumberFormat="1" applyFont="1" applyFill="1" applyBorder="1" applyAlignment="1" applyProtection="1">
      <alignment horizontal="center"/>
      <protection hidden="1"/>
    </xf>
    <xf numFmtId="4" fontId="2" fillId="5" borderId="38" xfId="0" applyNumberFormat="1" applyFont="1" applyFill="1" applyBorder="1" applyAlignment="1" applyProtection="1">
      <alignment horizontal="center"/>
      <protection hidden="1"/>
    </xf>
    <xf numFmtId="177" fontId="41" fillId="5" borderId="37" xfId="0" applyNumberFormat="1" applyFont="1" applyFill="1" applyBorder="1" applyAlignment="1" applyProtection="1">
      <alignment horizontal="center"/>
      <protection hidden="1"/>
    </xf>
    <xf numFmtId="0" fontId="49" fillId="0" borderId="22" xfId="0" applyFont="1" applyBorder="1" applyAlignment="1">
      <alignment horizontal="center"/>
    </xf>
    <xf numFmtId="0" fontId="49" fillId="0" borderId="23" xfId="0" applyFont="1" applyBorder="1" applyAlignment="1">
      <alignment horizontal="center"/>
    </xf>
    <xf numFmtId="10" fontId="17" fillId="4" borderId="0" xfId="3" applyNumberFormat="1" applyFont="1" applyFill="1" applyBorder="1" applyAlignment="1" applyProtection="1">
      <alignment horizontal="center" vertical="center"/>
    </xf>
    <xf numFmtId="166" fontId="0" fillId="4" borderId="35" xfId="0" applyNumberFormat="1" applyFill="1" applyBorder="1" applyAlignment="1">
      <alignment horizontal="center" vertical="center"/>
    </xf>
    <xf numFmtId="166" fontId="0" fillId="4" borderId="25" xfId="0" applyNumberFormat="1" applyFill="1" applyBorder="1" applyAlignment="1">
      <alignment horizontal="center" vertical="center"/>
    </xf>
    <xf numFmtId="166" fontId="0" fillId="4" borderId="0" xfId="0" applyNumberFormat="1" applyFill="1" applyAlignment="1">
      <alignment horizontal="center" vertical="center"/>
    </xf>
    <xf numFmtId="10" fontId="13" fillId="4" borderId="5" xfId="3" applyNumberFormat="1" applyFont="1" applyFill="1" applyBorder="1" applyAlignment="1" applyProtection="1">
      <alignment horizontal="center" vertical="center"/>
    </xf>
    <xf numFmtId="166" fontId="0" fillId="4" borderId="44" xfId="0" applyNumberFormat="1" applyFill="1" applyBorder="1" applyAlignment="1">
      <alignment horizontal="center" vertical="center"/>
    </xf>
    <xf numFmtId="166" fontId="0" fillId="4" borderId="33" xfId="0" applyNumberFormat="1" applyFill="1" applyBorder="1" applyAlignment="1">
      <alignment horizontal="center" vertical="center"/>
    </xf>
    <xf numFmtId="166" fontId="0" fillId="4" borderId="5" xfId="0" applyNumberFormat="1" applyFill="1" applyBorder="1" applyAlignment="1">
      <alignment horizontal="center" vertical="center"/>
    </xf>
    <xf numFmtId="0" fontId="0" fillId="12" borderId="15" xfId="0" applyFill="1" applyBorder="1" applyAlignment="1">
      <alignment horizontal="center" vertical="center"/>
    </xf>
    <xf numFmtId="0" fontId="0" fillId="12" borderId="4" xfId="0" applyFill="1" applyBorder="1" applyAlignment="1">
      <alignment horizontal="center" vertical="center"/>
    </xf>
    <xf numFmtId="169" fontId="0" fillId="4" borderId="19" xfId="0" applyNumberFormat="1" applyFill="1" applyBorder="1" applyAlignment="1">
      <alignment horizontal="center" vertical="center"/>
    </xf>
    <xf numFmtId="169" fontId="0" fillId="4" borderId="39" xfId="0" applyNumberFormat="1" applyFill="1" applyBorder="1" applyAlignment="1">
      <alignment horizontal="center" vertical="center"/>
    </xf>
    <xf numFmtId="10" fontId="0" fillId="4" borderId="19" xfId="0" applyNumberFormat="1" applyFill="1" applyBorder="1" applyAlignment="1">
      <alignment horizontal="center" vertical="center"/>
    </xf>
    <xf numFmtId="10" fontId="0" fillId="4" borderId="39" xfId="0" applyNumberFormat="1" applyFill="1" applyBorder="1" applyAlignment="1">
      <alignment horizontal="center" vertical="center"/>
    </xf>
    <xf numFmtId="169" fontId="0" fillId="4" borderId="24" xfId="0" applyNumberFormat="1" applyFill="1" applyBorder="1" applyAlignment="1">
      <alignment horizontal="center" vertical="center"/>
    </xf>
    <xf numFmtId="169" fontId="0" fillId="4" borderId="36" xfId="0" applyNumberFormat="1" applyFill="1" applyBorder="1" applyAlignment="1">
      <alignment horizontal="center" vertical="center"/>
    </xf>
    <xf numFmtId="10" fontId="0" fillId="4" borderId="24" xfId="0" applyNumberFormat="1" applyFill="1" applyBorder="1" applyAlignment="1">
      <alignment horizontal="center" vertical="center"/>
    </xf>
    <xf numFmtId="10" fontId="0" fillId="4" borderId="36" xfId="0" applyNumberFormat="1" applyFill="1" applyBorder="1" applyAlignment="1">
      <alignment horizontal="center" vertical="center"/>
    </xf>
    <xf numFmtId="10" fontId="17" fillId="4" borderId="22" xfId="3" applyNumberFormat="1" applyFont="1" applyFill="1" applyBorder="1" applyAlignment="1" applyProtection="1">
      <alignment horizontal="center" vertical="center"/>
    </xf>
    <xf numFmtId="10" fontId="17" fillId="4" borderId="5" xfId="3" applyNumberFormat="1" applyFont="1" applyFill="1" applyBorder="1" applyAlignment="1" applyProtection="1">
      <alignment horizontal="center" vertical="center"/>
    </xf>
    <xf numFmtId="10" fontId="0" fillId="4" borderId="35" xfId="0" applyNumberFormat="1" applyFill="1" applyBorder="1" applyAlignment="1">
      <alignment horizontal="center" vertical="center"/>
    </xf>
    <xf numFmtId="10" fontId="0" fillId="4" borderId="0" xfId="0" applyNumberFormat="1" applyFill="1" applyAlignment="1">
      <alignment horizontal="center" vertical="center"/>
    </xf>
    <xf numFmtId="10" fontId="0" fillId="4" borderId="44" xfId="0" applyNumberFormat="1" applyFill="1" applyBorder="1" applyAlignment="1">
      <alignment horizontal="center" vertical="center"/>
    </xf>
    <xf numFmtId="10" fontId="0" fillId="4" borderId="5" xfId="0" applyNumberFormat="1" applyFill="1" applyBorder="1" applyAlignment="1">
      <alignment horizontal="center" vertical="center"/>
    </xf>
    <xf numFmtId="0" fontId="0" fillId="12" borderId="19" xfId="0" applyFill="1" applyBorder="1" applyAlignment="1">
      <alignment horizontal="center" vertical="center"/>
    </xf>
    <xf numFmtId="0" fontId="0" fillId="12" borderId="25" xfId="0" applyFill="1" applyBorder="1" applyAlignment="1">
      <alignment horizontal="center" vertical="center"/>
    </xf>
    <xf numFmtId="0" fontId="0" fillId="12" borderId="3" xfId="0" applyFill="1" applyBorder="1" applyAlignment="1">
      <alignment horizontal="center" vertical="center"/>
    </xf>
    <xf numFmtId="0" fontId="0" fillId="12" borderId="42" xfId="0" applyFill="1" applyBorder="1" applyAlignment="1">
      <alignment horizontal="center" vertical="center"/>
    </xf>
    <xf numFmtId="0" fontId="0" fillId="12" borderId="20" xfId="0" applyFill="1" applyBorder="1" applyAlignment="1">
      <alignment horizontal="center" vertical="center"/>
    </xf>
    <xf numFmtId="0" fontId="0" fillId="12" borderId="32" xfId="0" applyFill="1" applyBorder="1" applyAlignment="1">
      <alignment horizontal="left" vertical="center" wrapText="1" indent="1"/>
    </xf>
    <xf numFmtId="0" fontId="0" fillId="12" borderId="22" xfId="0" applyFill="1" applyBorder="1" applyAlignment="1">
      <alignment horizontal="left" vertical="center" wrapText="1" indent="1"/>
    </xf>
    <xf numFmtId="0" fontId="44" fillId="12" borderId="19" xfId="0" applyFont="1" applyFill="1" applyBorder="1" applyAlignment="1">
      <alignment horizontal="left" vertical="center" wrapText="1" indent="1"/>
    </xf>
    <xf numFmtId="0" fontId="44" fillId="12" borderId="0" xfId="0" applyFont="1" applyFill="1" applyAlignment="1">
      <alignment horizontal="left" vertical="center" wrapText="1" indent="1"/>
    </xf>
    <xf numFmtId="0" fontId="22" fillId="14" borderId="32" xfId="0" applyFont="1" applyFill="1" applyBorder="1" applyAlignment="1">
      <alignment horizontal="center" vertical="center"/>
    </xf>
    <xf numFmtId="0" fontId="22" fillId="14" borderId="22" xfId="0" applyFont="1" applyFill="1" applyBorder="1" applyAlignment="1">
      <alignment horizontal="center" vertical="center"/>
    </xf>
    <xf numFmtId="0" fontId="22" fillId="14" borderId="23" xfId="0" applyFont="1" applyFill="1" applyBorder="1" applyAlignment="1">
      <alignment horizontal="center" vertical="center"/>
    </xf>
    <xf numFmtId="0" fontId="0" fillId="12" borderId="42" xfId="0" applyFill="1" applyBorder="1" applyAlignment="1">
      <alignment horizontal="left" vertical="center" wrapText="1" indent="1"/>
    </xf>
    <xf numFmtId="0" fontId="0" fillId="12" borderId="18" xfId="0" applyFill="1" applyBorder="1" applyAlignment="1">
      <alignment horizontal="left" vertical="center" wrapText="1" indent="1"/>
    </xf>
    <xf numFmtId="0" fontId="0" fillId="12" borderId="32" xfId="0" applyFill="1" applyBorder="1" applyAlignment="1">
      <alignment horizontal="center" vertical="center"/>
    </xf>
    <xf numFmtId="0" fontId="0" fillId="12" borderId="68" xfId="0" applyFill="1" applyBorder="1" applyAlignment="1">
      <alignment horizontal="center" vertical="center"/>
    </xf>
    <xf numFmtId="0" fontId="1" fillId="12" borderId="15"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12" borderId="4" xfId="0" applyFont="1" applyFill="1" applyBorder="1" applyAlignment="1">
      <alignment horizontal="center" vertical="center" wrapText="1"/>
    </xf>
    <xf numFmtId="169" fontId="43" fillId="0" borderId="0" xfId="0" applyNumberFormat="1" applyFont="1" applyAlignment="1">
      <alignment horizontal="center" vertical="center" wrapText="1"/>
    </xf>
    <xf numFmtId="169" fontId="43" fillId="0" borderId="5" xfId="0" applyNumberFormat="1" applyFont="1" applyBorder="1" applyAlignment="1">
      <alignment horizontal="center" vertical="center" wrapText="1"/>
    </xf>
    <xf numFmtId="1" fontId="0" fillId="5" borderId="0" xfId="0" applyNumberFormat="1" applyFill="1" applyAlignment="1">
      <alignment horizontal="center" vertical="center"/>
    </xf>
    <xf numFmtId="166" fontId="0" fillId="4" borderId="22" xfId="0" applyNumberFormat="1" applyFill="1" applyBorder="1" applyAlignment="1">
      <alignment horizontal="center" vertical="center"/>
    </xf>
    <xf numFmtId="166" fontId="0" fillId="4" borderId="64" xfId="0" applyNumberFormat="1" applyFill="1" applyBorder="1" applyAlignment="1">
      <alignment horizontal="center" vertical="center"/>
    </xf>
    <xf numFmtId="166" fontId="0" fillId="4" borderId="68" xfId="0" applyNumberFormat="1" applyFill="1" applyBorder="1" applyAlignment="1">
      <alignment horizontal="center" vertical="center"/>
    </xf>
    <xf numFmtId="0" fontId="0" fillId="12" borderId="24" xfId="0" applyFill="1" applyBorder="1" applyAlignment="1">
      <alignment horizontal="center" vertical="center"/>
    </xf>
    <xf numFmtId="0" fontId="0" fillId="12" borderId="33" xfId="0" applyFill="1" applyBorder="1" applyAlignment="1">
      <alignment horizontal="center" vertical="center"/>
    </xf>
    <xf numFmtId="0" fontId="0" fillId="12" borderId="0" xfId="0" applyFill="1" applyAlignment="1">
      <alignment horizontal="center" vertical="center"/>
    </xf>
    <xf numFmtId="0" fontId="0" fillId="12" borderId="5" xfId="0" applyFill="1" applyBorder="1" applyAlignment="1">
      <alignment horizontal="center" vertical="center"/>
    </xf>
    <xf numFmtId="0" fontId="1" fillId="4" borderId="15" xfId="0" applyFont="1" applyFill="1" applyBorder="1" applyAlignment="1">
      <alignment horizontal="center"/>
    </xf>
    <xf numFmtId="0" fontId="1" fillId="4" borderId="4" xfId="0" applyFont="1" applyFill="1" applyBorder="1" applyAlignment="1">
      <alignment horizontal="center"/>
    </xf>
    <xf numFmtId="0" fontId="1" fillId="12" borderId="72" xfId="0" applyFont="1" applyFill="1" applyBorder="1" applyAlignment="1">
      <alignment horizontal="center" vertical="center"/>
    </xf>
    <xf numFmtId="0" fontId="1" fillId="12" borderId="3" xfId="0" applyFont="1" applyFill="1" applyBorder="1" applyAlignment="1">
      <alignment horizontal="center" vertical="center"/>
    </xf>
    <xf numFmtId="0" fontId="1" fillId="12" borderId="73" xfId="0" applyFont="1" applyFill="1" applyBorder="1" applyAlignment="1">
      <alignment horizontal="center" vertical="center"/>
    </xf>
    <xf numFmtId="0" fontId="0" fillId="12" borderId="24" xfId="0" applyFill="1" applyBorder="1" applyAlignment="1">
      <alignment horizontal="left" vertical="center" indent="1"/>
    </xf>
    <xf numFmtId="0" fontId="0" fillId="12" borderId="5" xfId="0" applyFill="1" applyBorder="1" applyAlignment="1">
      <alignment horizontal="left" vertical="center" indent="1"/>
    </xf>
    <xf numFmtId="0" fontId="0" fillId="12" borderId="33" xfId="0" applyFill="1" applyBorder="1" applyAlignment="1">
      <alignment horizontal="left" vertical="center" indent="1"/>
    </xf>
    <xf numFmtId="0" fontId="0" fillId="12" borderId="15" xfId="0" applyFill="1" applyBorder="1" applyAlignment="1">
      <alignment horizontal="center" vertical="center" wrapText="1"/>
    </xf>
    <xf numFmtId="0" fontId="0" fillId="12" borderId="4" xfId="0" applyFill="1" applyBorder="1" applyAlignment="1">
      <alignment horizontal="center" vertical="center" wrapText="1"/>
    </xf>
    <xf numFmtId="169" fontId="13" fillId="5" borderId="35" xfId="0" applyNumberFormat="1" applyFont="1" applyFill="1" applyBorder="1" applyAlignment="1">
      <alignment horizontal="center" vertical="center"/>
    </xf>
    <xf numFmtId="169" fontId="13" fillId="5" borderId="39" xfId="0" applyNumberFormat="1" applyFont="1" applyFill="1" applyBorder="1" applyAlignment="1">
      <alignment horizontal="center" vertical="center"/>
    </xf>
    <xf numFmtId="169" fontId="0" fillId="5" borderId="35" xfId="0" applyNumberFormat="1" applyFill="1" applyBorder="1" applyAlignment="1">
      <alignment horizontal="center" vertical="center"/>
    </xf>
    <xf numFmtId="169" fontId="0" fillId="5" borderId="39" xfId="0" applyNumberFormat="1" applyFill="1" applyBorder="1" applyAlignment="1">
      <alignment horizontal="center" vertical="center"/>
    </xf>
    <xf numFmtId="0" fontId="1" fillId="12" borderId="10" xfId="0" quotePrefix="1" applyFont="1" applyFill="1" applyBorder="1" applyAlignment="1">
      <alignment horizontal="center" vertical="center"/>
    </xf>
    <xf numFmtId="0" fontId="1" fillId="12" borderId="11" xfId="0" quotePrefix="1" applyFont="1" applyFill="1" applyBorder="1" applyAlignment="1">
      <alignment horizontal="center" vertical="center"/>
    </xf>
    <xf numFmtId="166" fontId="0" fillId="2" borderId="5" xfId="0" applyNumberFormat="1" applyFill="1" applyBorder="1" applyAlignment="1">
      <alignment horizontal="center" vertical="center"/>
    </xf>
    <xf numFmtId="0" fontId="1" fillId="12" borderId="27" xfId="0" quotePrefix="1" applyFont="1" applyFill="1" applyBorder="1" applyAlignment="1">
      <alignment horizontal="center" vertical="center"/>
    </xf>
    <xf numFmtId="183" fontId="0" fillId="4" borderId="24" xfId="0" applyNumberFormat="1" applyFill="1" applyBorder="1" applyAlignment="1">
      <alignment horizontal="center" vertical="center"/>
    </xf>
    <xf numFmtId="183" fontId="0" fillId="4" borderId="36" xfId="0" applyNumberFormat="1" applyFill="1" applyBorder="1" applyAlignment="1">
      <alignment horizontal="center" vertical="center"/>
    </xf>
    <xf numFmtId="195" fontId="0" fillId="5" borderId="44" xfId="0" applyNumberFormat="1" applyFill="1" applyBorder="1" applyAlignment="1">
      <alignment horizontal="center" vertical="center"/>
    </xf>
    <xf numFmtId="195" fontId="0" fillId="5" borderId="36" xfId="0" applyNumberFormat="1" applyFill="1" applyBorder="1" applyAlignment="1">
      <alignment horizontal="center" vertical="center"/>
    </xf>
    <xf numFmtId="169" fontId="13" fillId="5" borderId="25" xfId="0" applyNumberFormat="1" applyFont="1" applyFill="1" applyBorder="1" applyAlignment="1">
      <alignment horizontal="center" vertical="center"/>
    </xf>
    <xf numFmtId="0" fontId="36" fillId="14" borderId="15" xfId="0" applyFont="1" applyFill="1" applyBorder="1" applyAlignment="1">
      <alignment horizontal="center" vertical="center"/>
    </xf>
    <xf numFmtId="0" fontId="36" fillId="14" borderId="3" xfId="0" applyFont="1" applyFill="1" applyBorder="1" applyAlignment="1">
      <alignment horizontal="center" vertical="center"/>
    </xf>
    <xf numFmtId="0" fontId="36" fillId="14" borderId="4" xfId="0" applyFont="1" applyFill="1" applyBorder="1" applyAlignment="1">
      <alignment horizontal="center" vertical="center"/>
    </xf>
    <xf numFmtId="178" fontId="0" fillId="4" borderId="5" xfId="0" applyNumberFormat="1" applyFill="1" applyBorder="1" applyAlignment="1">
      <alignment horizontal="center" vertical="center"/>
    </xf>
    <xf numFmtId="178" fontId="0" fillId="4" borderId="36" xfId="0" applyNumberFormat="1" applyFill="1" applyBorder="1" applyAlignment="1">
      <alignment horizontal="center" vertical="center"/>
    </xf>
    <xf numFmtId="1" fontId="0" fillId="5" borderId="5" xfId="0" applyNumberFormat="1" applyFill="1" applyBorder="1" applyAlignment="1">
      <alignment horizontal="center" vertical="center"/>
    </xf>
    <xf numFmtId="0" fontId="0" fillId="7" borderId="19" xfId="0" applyFill="1" applyBorder="1" applyAlignment="1">
      <alignment horizontal="left" vertical="center" indent="1"/>
    </xf>
    <xf numFmtId="0" fontId="0" fillId="7" borderId="0" xfId="0" applyFill="1" applyAlignment="1">
      <alignment horizontal="left" vertical="center" indent="1"/>
    </xf>
    <xf numFmtId="0" fontId="0" fillId="7" borderId="25" xfId="0" applyFill="1" applyBorder="1" applyAlignment="1">
      <alignment horizontal="left" vertical="center" indent="1"/>
    </xf>
    <xf numFmtId="10" fontId="0" fillId="0" borderId="35" xfId="0" applyNumberFormat="1" applyBorder="1" applyAlignment="1">
      <alignment horizontal="center" vertical="center"/>
    </xf>
    <xf numFmtId="10" fontId="0" fillId="0" borderId="25" xfId="0" applyNumberFormat="1" applyBorder="1" applyAlignment="1">
      <alignment horizontal="center" vertical="center"/>
    </xf>
    <xf numFmtId="165" fontId="0" fillId="0" borderId="35" xfId="0" applyNumberFormat="1" applyBorder="1" applyAlignment="1">
      <alignment horizontal="center" vertical="center"/>
    </xf>
    <xf numFmtId="165" fontId="0" fillId="0" borderId="25" xfId="0" applyNumberFormat="1" applyBorder="1" applyAlignment="1">
      <alignment horizontal="center" vertical="center"/>
    </xf>
    <xf numFmtId="166" fontId="0" fillId="0" borderId="35" xfId="0" applyNumberFormat="1" applyBorder="1" applyAlignment="1">
      <alignment horizontal="center" vertical="center"/>
    </xf>
    <xf numFmtId="166" fontId="0" fillId="0" borderId="25" xfId="0" applyNumberFormat="1" applyBorder="1" applyAlignment="1">
      <alignment horizontal="center" vertical="center"/>
    </xf>
    <xf numFmtId="0" fontId="1" fillId="12" borderId="15" xfId="0" applyFont="1" applyFill="1" applyBorder="1" applyAlignment="1">
      <alignment horizontal="center" vertical="center"/>
    </xf>
    <xf numFmtId="0" fontId="1" fillId="12" borderId="4" xfId="0" applyFont="1" applyFill="1" applyBorder="1" applyAlignment="1">
      <alignment horizontal="center" vertical="center"/>
    </xf>
    <xf numFmtId="0" fontId="1" fillId="12" borderId="32" xfId="0" quotePrefix="1" applyFont="1" applyFill="1" applyBorder="1" applyAlignment="1">
      <alignment horizontal="right" vertical="center" indent="1"/>
    </xf>
    <xf numFmtId="0" fontId="1" fillId="12" borderId="22" xfId="0" quotePrefix="1" applyFont="1" applyFill="1" applyBorder="1" applyAlignment="1">
      <alignment horizontal="right" vertical="center" indent="1"/>
    </xf>
    <xf numFmtId="0" fontId="1" fillId="12" borderId="24" xfId="0" quotePrefix="1" applyFont="1" applyFill="1" applyBorder="1" applyAlignment="1">
      <alignment horizontal="right" vertical="center" indent="1"/>
    </xf>
    <xf numFmtId="0" fontId="1" fillId="12" borderId="5" xfId="0" quotePrefix="1" applyFont="1" applyFill="1" applyBorder="1" applyAlignment="1">
      <alignment horizontal="right" vertical="center" indent="1"/>
    </xf>
    <xf numFmtId="166" fontId="0" fillId="0" borderId="64" xfId="0" applyNumberFormat="1" applyBorder="1" applyAlignment="1">
      <alignment horizontal="center" vertical="center"/>
    </xf>
    <xf numFmtId="166" fontId="0" fillId="0" borderId="23" xfId="0" applyNumberFormat="1" applyBorder="1" applyAlignment="1">
      <alignment horizontal="center" vertical="center"/>
    </xf>
    <xf numFmtId="166" fontId="0" fillId="0" borderId="44" xfId="0" applyNumberFormat="1" applyBorder="1" applyAlignment="1">
      <alignment horizontal="center" vertical="center"/>
    </xf>
    <xf numFmtId="166" fontId="0" fillId="0" borderId="36" xfId="0" applyNumberFormat="1" applyBorder="1" applyAlignment="1">
      <alignment horizontal="center" vertical="center"/>
    </xf>
    <xf numFmtId="0" fontId="0" fillId="12" borderId="15" xfId="0" applyFill="1" applyBorder="1" applyAlignment="1">
      <alignment horizontal="left" vertical="center" wrapText="1" indent="1"/>
    </xf>
    <xf numFmtId="0" fontId="0" fillId="12" borderId="3" xfId="0" applyFill="1" applyBorder="1" applyAlignment="1">
      <alignment horizontal="left" vertical="center" wrapText="1" indent="1"/>
    </xf>
    <xf numFmtId="0" fontId="0" fillId="12" borderId="4" xfId="0" applyFill="1" applyBorder="1" applyAlignment="1">
      <alignment horizontal="left" vertical="center" wrapText="1" indent="1"/>
    </xf>
    <xf numFmtId="167" fontId="0" fillId="0" borderId="35" xfId="0" applyNumberFormat="1" applyBorder="1" applyAlignment="1">
      <alignment horizontal="center" vertical="center"/>
    </xf>
    <xf numFmtId="167" fontId="0" fillId="0" borderId="25" xfId="0" applyNumberFormat="1" applyBorder="1" applyAlignment="1">
      <alignment horizontal="center" vertical="center"/>
    </xf>
    <xf numFmtId="0" fontId="0" fillId="12" borderId="19" xfId="0" applyFill="1" applyBorder="1" applyAlignment="1">
      <alignment horizontal="left" vertical="center" indent="1"/>
    </xf>
    <xf numFmtId="0" fontId="0" fillId="12" borderId="0" xfId="0" applyFill="1" applyAlignment="1">
      <alignment horizontal="left" vertical="center" indent="1"/>
    </xf>
    <xf numFmtId="0" fontId="0" fillId="12" borderId="25" xfId="0" applyFill="1" applyBorder="1" applyAlignment="1">
      <alignment horizontal="left" vertical="center" indent="1"/>
    </xf>
    <xf numFmtId="180" fontId="0" fillId="5" borderId="35" xfId="0" applyNumberFormat="1" applyFill="1" applyBorder="1" applyAlignment="1">
      <alignment horizontal="center" vertical="center"/>
    </xf>
    <xf numFmtId="180" fontId="0" fillId="5" borderId="39" xfId="0" applyNumberFormat="1" applyFill="1" applyBorder="1" applyAlignment="1">
      <alignment horizontal="center" vertical="center"/>
    </xf>
    <xf numFmtId="186" fontId="0" fillId="5" borderId="35" xfId="0" applyNumberFormat="1" applyFill="1" applyBorder="1" applyAlignment="1">
      <alignment horizontal="center" vertical="center"/>
    </xf>
    <xf numFmtId="186" fontId="0" fillId="5" borderId="39" xfId="0" applyNumberFormat="1" applyFill="1" applyBorder="1" applyAlignment="1">
      <alignment horizontal="center" vertical="center"/>
    </xf>
    <xf numFmtId="184" fontId="0" fillId="5" borderId="35" xfId="0" applyNumberFormat="1" applyFill="1" applyBorder="1" applyAlignment="1">
      <alignment horizontal="center" vertical="center"/>
    </xf>
    <xf numFmtId="184" fontId="0" fillId="5" borderId="39" xfId="0" applyNumberFormat="1" applyFill="1" applyBorder="1" applyAlignment="1">
      <alignment horizontal="center" vertical="center"/>
    </xf>
    <xf numFmtId="0" fontId="0" fillId="12" borderId="42" xfId="0" applyFill="1" applyBorder="1" applyAlignment="1">
      <alignment horizontal="left" vertical="center" indent="1"/>
    </xf>
    <xf numFmtId="0" fontId="0" fillId="12" borderId="18" xfId="0" applyFill="1" applyBorder="1" applyAlignment="1">
      <alignment horizontal="left" vertical="center" indent="1"/>
    </xf>
    <xf numFmtId="0" fontId="0" fillId="12" borderId="20" xfId="0" applyFill="1" applyBorder="1" applyAlignment="1">
      <alignment horizontal="left" vertical="center" indent="1"/>
    </xf>
    <xf numFmtId="182" fontId="0" fillId="5" borderId="35" xfId="0" applyNumberFormat="1" applyFill="1" applyBorder="1" applyAlignment="1">
      <alignment horizontal="center" vertical="center"/>
    </xf>
    <xf numFmtId="182" fontId="0" fillId="5" borderId="39" xfId="0" applyNumberFormat="1" applyFill="1" applyBorder="1" applyAlignment="1">
      <alignment horizontal="center" vertical="center"/>
    </xf>
    <xf numFmtId="0" fontId="1" fillId="12" borderId="27" xfId="0" applyFont="1" applyFill="1" applyBorder="1" applyAlignment="1">
      <alignment horizontal="left" vertical="center" indent="1"/>
    </xf>
    <xf numFmtId="0" fontId="1" fillId="12" borderId="10" xfId="0" applyFont="1" applyFill="1" applyBorder="1" applyAlignment="1">
      <alignment horizontal="left" vertical="center" indent="1"/>
    </xf>
    <xf numFmtId="0" fontId="1" fillId="12" borderId="28" xfId="0" applyFont="1" applyFill="1" applyBorder="1" applyAlignment="1">
      <alignment horizontal="left" vertical="center" indent="1"/>
    </xf>
    <xf numFmtId="0" fontId="1" fillId="12" borderId="34" xfId="0" applyFont="1" applyFill="1" applyBorder="1" applyAlignment="1">
      <alignment horizontal="left" vertical="center" indent="1"/>
    </xf>
    <xf numFmtId="0" fontId="1" fillId="9" borderId="15" xfId="0" applyFont="1" applyFill="1" applyBorder="1" applyAlignment="1">
      <alignment horizontal="center"/>
    </xf>
    <xf numFmtId="0" fontId="1" fillId="9" borderId="4" xfId="0" applyFont="1" applyFill="1" applyBorder="1" applyAlignment="1">
      <alignment horizontal="center"/>
    </xf>
    <xf numFmtId="0" fontId="1" fillId="9" borderId="32" xfId="0" applyFont="1" applyFill="1" applyBorder="1" applyAlignment="1">
      <alignment horizontal="center"/>
    </xf>
    <xf numFmtId="0" fontId="1" fillId="9" borderId="23" xfId="0" applyFont="1" applyFill="1" applyBorder="1" applyAlignment="1">
      <alignment horizontal="center"/>
    </xf>
    <xf numFmtId="0" fontId="1" fillId="9" borderId="3" xfId="0" applyFont="1" applyFill="1" applyBorder="1" applyAlignment="1">
      <alignment horizontal="center"/>
    </xf>
    <xf numFmtId="0" fontId="0" fillId="0" borderId="24" xfId="0" applyBorder="1" applyAlignment="1">
      <alignment horizontal="center"/>
    </xf>
    <xf numFmtId="0" fontId="0" fillId="0" borderId="36" xfId="0" applyBorder="1" applyAlignment="1">
      <alignment horizontal="center"/>
    </xf>
    <xf numFmtId="0" fontId="40" fillId="0" borderId="0" xfId="0" applyFont="1" applyAlignment="1">
      <alignment horizontal="left"/>
    </xf>
    <xf numFmtId="0" fontId="40" fillId="0" borderId="0" xfId="0" applyFont="1"/>
    <xf numFmtId="0" fontId="6" fillId="3" borderId="0" xfId="0" applyFont="1" applyFill="1" applyAlignment="1">
      <alignment horizontal="center"/>
    </xf>
    <xf numFmtId="0" fontId="0" fillId="0" borderId="0" xfId="0" applyAlignment="1">
      <alignment horizontal="left" vertical="top" wrapText="1"/>
    </xf>
    <xf numFmtId="169" fontId="0" fillId="5" borderId="25" xfId="0" applyNumberFormat="1" applyFill="1" applyBorder="1" applyAlignment="1">
      <alignment horizontal="center" vertical="center"/>
    </xf>
    <xf numFmtId="0" fontId="6" fillId="0" borderId="0" xfId="0" applyFont="1" applyAlignment="1">
      <alignment horizontal="center"/>
    </xf>
    <xf numFmtId="0" fontId="11" fillId="0" borderId="27" xfId="0" applyFont="1" applyBorder="1" applyAlignment="1">
      <alignment horizontal="center"/>
    </xf>
    <xf numFmtId="0" fontId="11" fillId="0" borderId="11" xfId="0" applyFont="1" applyBorder="1" applyAlignment="1">
      <alignment horizontal="center"/>
    </xf>
    <xf numFmtId="0" fontId="5" fillId="0" borderId="5" xfId="1" applyFont="1" applyFill="1" applyBorder="1" applyAlignment="1" applyProtection="1">
      <alignment horizontal="center" vertical="center"/>
      <protection locked="0" hidden="1"/>
    </xf>
    <xf numFmtId="0" fontId="1" fillId="13" borderId="9" xfId="0" applyFont="1" applyFill="1" applyBorder="1" applyAlignment="1" applyProtection="1">
      <alignment horizontal="center" vertical="center"/>
      <protection locked="0"/>
    </xf>
    <xf numFmtId="0" fontId="1" fillId="13" borderId="11" xfId="0" applyFont="1" applyFill="1" applyBorder="1" applyAlignment="1" applyProtection="1">
      <alignment horizontal="center" vertical="center"/>
      <protection locked="0"/>
    </xf>
    <xf numFmtId="0" fontId="1" fillId="13" borderId="6" xfId="0" applyFont="1" applyFill="1" applyBorder="1" applyAlignment="1" applyProtection="1">
      <alignment horizontal="center" vertical="center"/>
      <protection locked="0"/>
    </xf>
    <xf numFmtId="0" fontId="1" fillId="13" borderId="8" xfId="0" applyFont="1" applyFill="1" applyBorder="1" applyAlignment="1" applyProtection="1">
      <alignment horizontal="center" vertical="center"/>
      <protection locked="0"/>
    </xf>
    <xf numFmtId="171" fontId="0" fillId="13" borderId="35" xfId="0" applyNumberFormat="1" applyFill="1" applyBorder="1" applyAlignment="1" applyProtection="1">
      <alignment horizontal="center" vertical="center"/>
      <protection locked="0"/>
    </xf>
    <xf numFmtId="171" fontId="0" fillId="13" borderId="39" xfId="0" applyNumberFormat="1" applyFill="1" applyBorder="1" applyAlignment="1" applyProtection="1">
      <alignment horizontal="center" vertical="center"/>
      <protection locked="0"/>
    </xf>
    <xf numFmtId="176" fontId="0" fillId="13" borderId="35" xfId="0" applyNumberFormat="1" applyFill="1" applyBorder="1" applyAlignment="1" applyProtection="1">
      <alignment horizontal="center" vertical="center"/>
      <protection locked="0"/>
    </xf>
    <xf numFmtId="176" fontId="0" fillId="13" borderId="39" xfId="0" applyNumberFormat="1" applyFill="1" applyBorder="1" applyAlignment="1" applyProtection="1">
      <alignment horizontal="center" vertical="center"/>
      <protection locked="0"/>
    </xf>
    <xf numFmtId="176" fontId="0" fillId="13" borderId="65" xfId="0" applyNumberFormat="1" applyFill="1" applyBorder="1" applyAlignment="1" applyProtection="1">
      <alignment horizontal="center" vertical="center"/>
      <protection locked="0"/>
    </xf>
    <xf numFmtId="176" fontId="0" fillId="13" borderId="63" xfId="0" applyNumberFormat="1" applyFill="1" applyBorder="1" applyAlignment="1" applyProtection="1">
      <alignment horizontal="center" vertical="center"/>
      <protection locked="0"/>
    </xf>
    <xf numFmtId="179" fontId="0" fillId="5" borderId="35" xfId="0" applyNumberFormat="1" applyFill="1" applyBorder="1" applyAlignment="1">
      <alignment horizontal="center" vertical="center"/>
    </xf>
    <xf numFmtId="179" fontId="0" fillId="5" borderId="39" xfId="0" applyNumberFormat="1" applyFill="1" applyBorder="1" applyAlignment="1">
      <alignment horizontal="center" vertical="center"/>
    </xf>
    <xf numFmtId="172" fontId="0" fillId="13" borderId="35" xfId="0" applyNumberFormat="1" applyFill="1" applyBorder="1" applyAlignment="1" applyProtection="1">
      <alignment horizontal="center" vertical="center"/>
      <protection locked="0"/>
    </xf>
    <xf numFmtId="172" fontId="0" fillId="13" borderId="39" xfId="0" applyNumberFormat="1" applyFill="1" applyBorder="1" applyAlignment="1" applyProtection="1">
      <alignment horizontal="center" vertical="center"/>
      <protection locked="0"/>
    </xf>
    <xf numFmtId="175" fontId="0" fillId="13" borderId="35" xfId="0" applyNumberFormat="1" applyFill="1" applyBorder="1" applyAlignment="1" applyProtection="1">
      <alignment horizontal="center" vertical="center"/>
      <protection locked="0"/>
    </xf>
    <xf numFmtId="175" fontId="0" fillId="13" borderId="39" xfId="0" applyNumberFormat="1" applyFill="1" applyBorder="1" applyAlignment="1" applyProtection="1">
      <alignment horizontal="center" vertical="center"/>
      <protection locked="0"/>
    </xf>
    <xf numFmtId="185" fontId="0" fillId="13" borderId="35" xfId="0" applyNumberFormat="1" applyFill="1" applyBorder="1" applyAlignment="1" applyProtection="1">
      <alignment horizontal="center" vertical="center"/>
      <protection locked="0"/>
    </xf>
    <xf numFmtId="185" fontId="0" fillId="13" borderId="39" xfId="0" applyNumberFormat="1" applyFill="1" applyBorder="1" applyAlignment="1" applyProtection="1">
      <alignment horizontal="center" vertical="center"/>
      <protection locked="0"/>
    </xf>
    <xf numFmtId="0" fontId="0" fillId="7" borderId="39" xfId="0" applyFill="1" applyBorder="1" applyAlignment="1">
      <alignment horizontal="left" vertical="center" indent="1"/>
    </xf>
    <xf numFmtId="0" fontId="35" fillId="0" borderId="0" xfId="0" applyFont="1" applyAlignment="1">
      <alignment horizontal="left" vertical="top" wrapText="1"/>
    </xf>
    <xf numFmtId="164" fontId="0" fillId="0" borderId="35" xfId="0" applyNumberFormat="1" applyBorder="1" applyAlignment="1">
      <alignment horizontal="center" vertical="center"/>
    </xf>
    <xf numFmtId="164" fontId="0" fillId="0" borderId="25" xfId="0" applyNumberFormat="1" applyBorder="1" applyAlignment="1">
      <alignment horizontal="center" vertical="center"/>
    </xf>
    <xf numFmtId="0" fontId="0" fillId="7" borderId="42" xfId="0" applyFill="1" applyBorder="1" applyAlignment="1">
      <alignment horizontal="left" vertical="center" indent="1"/>
    </xf>
    <xf numFmtId="0" fontId="0" fillId="7" borderId="18" xfId="0" applyFill="1" applyBorder="1" applyAlignment="1">
      <alignment horizontal="left" vertical="center" indent="1"/>
    </xf>
    <xf numFmtId="0" fontId="0" fillId="7" borderId="20" xfId="0" applyFill="1" applyBorder="1" applyAlignment="1">
      <alignment horizontal="left" vertical="center" indent="1"/>
    </xf>
    <xf numFmtId="0" fontId="1" fillId="4" borderId="15" xfId="0" applyFont="1" applyFill="1" applyBorder="1" applyAlignment="1">
      <alignment horizontal="center" vertical="center"/>
    </xf>
    <xf numFmtId="0" fontId="1" fillId="4" borderId="4" xfId="0" applyFont="1" applyFill="1" applyBorder="1" applyAlignment="1">
      <alignment horizontal="center" vertical="center"/>
    </xf>
    <xf numFmtId="0" fontId="1" fillId="9" borderId="15" xfId="0" quotePrefix="1" applyFont="1" applyFill="1" applyBorder="1" applyAlignment="1">
      <alignment horizontal="center"/>
    </xf>
    <xf numFmtId="0" fontId="1" fillId="9" borderId="4" xfId="0" quotePrefix="1" applyFont="1" applyFill="1" applyBorder="1" applyAlignment="1">
      <alignment horizontal="center"/>
    </xf>
    <xf numFmtId="190" fontId="0" fillId="5" borderId="64" xfId="0" applyNumberFormat="1" applyFill="1" applyBorder="1" applyAlignment="1">
      <alignment horizontal="center" vertical="center"/>
    </xf>
    <xf numFmtId="190" fontId="0" fillId="5" borderId="23" xfId="0" applyNumberFormat="1" applyFill="1" applyBorder="1" applyAlignment="1">
      <alignment horizontal="center" vertical="center"/>
    </xf>
    <xf numFmtId="197" fontId="0" fillId="5" borderId="35" xfId="0" applyNumberFormat="1" applyFill="1" applyBorder="1" applyAlignment="1">
      <alignment horizontal="center" vertical="center"/>
    </xf>
    <xf numFmtId="197" fontId="0" fillId="5" borderId="39" xfId="0" applyNumberFormat="1" applyFill="1" applyBorder="1" applyAlignment="1">
      <alignment horizontal="center" vertical="center"/>
    </xf>
    <xf numFmtId="197" fontId="0" fillId="5" borderId="65" xfId="0" applyNumberFormat="1" applyFill="1" applyBorder="1" applyAlignment="1">
      <alignment horizontal="center" vertical="center"/>
    </xf>
    <xf numFmtId="197" fontId="0" fillId="5" borderId="63" xfId="0" applyNumberFormat="1" applyFill="1" applyBorder="1" applyAlignment="1">
      <alignment horizontal="center" vertical="center"/>
    </xf>
    <xf numFmtId="0" fontId="36" fillId="14" borderId="32" xfId="0" applyFont="1" applyFill="1" applyBorder="1" applyAlignment="1">
      <alignment horizontal="center" vertical="center"/>
    </xf>
    <xf numFmtId="0" fontId="36" fillId="14" borderId="22" xfId="0" applyFont="1" applyFill="1" applyBorder="1" applyAlignment="1">
      <alignment horizontal="center" vertical="center"/>
    </xf>
    <xf numFmtId="0" fontId="36" fillId="14" borderId="23" xfId="0" applyFont="1" applyFill="1" applyBorder="1" applyAlignment="1">
      <alignment horizontal="center" vertical="center"/>
    </xf>
    <xf numFmtId="0" fontId="36" fillId="14" borderId="19" xfId="0" applyFont="1" applyFill="1" applyBorder="1" applyAlignment="1">
      <alignment horizontal="center" vertical="center"/>
    </xf>
    <xf numFmtId="0" fontId="36" fillId="14" borderId="0" xfId="0" applyFont="1" applyFill="1" applyAlignment="1">
      <alignment horizontal="center" vertical="center"/>
    </xf>
    <xf numFmtId="0" fontId="36" fillId="14" borderId="39" xfId="0" applyFont="1" applyFill="1" applyBorder="1" applyAlignment="1">
      <alignment horizontal="center" vertical="center"/>
    </xf>
    <xf numFmtId="2" fontId="1" fillId="12" borderId="3" xfId="0" applyNumberFormat="1" applyFont="1" applyFill="1" applyBorder="1" applyAlignment="1">
      <alignment horizontal="center" vertical="center" wrapText="1"/>
    </xf>
    <xf numFmtId="0" fontId="0" fillId="0" borderId="0" xfId="0" applyAlignment="1" applyProtection="1">
      <alignment horizontal="center"/>
      <protection hidden="1"/>
    </xf>
    <xf numFmtId="0" fontId="3" fillId="0" borderId="5" xfId="0" applyFont="1" applyBorder="1" applyAlignment="1" applyProtection="1">
      <alignment horizontal="left"/>
      <protection hidden="1"/>
    </xf>
    <xf numFmtId="0" fontId="6" fillId="0" borderId="0" xfId="0" applyFont="1" applyAlignment="1" applyProtection="1">
      <alignment horizontal="left"/>
      <protection hidden="1"/>
    </xf>
    <xf numFmtId="0" fontId="0" fillId="3" borderId="0" xfId="0" applyFill="1" applyAlignment="1" applyProtection="1">
      <alignment horizontal="center"/>
      <protection hidden="1"/>
    </xf>
    <xf numFmtId="0" fontId="5" fillId="0" borderId="0" xfId="1" applyFont="1" applyFill="1" applyAlignment="1" applyProtection="1">
      <alignment horizontal="left"/>
      <protection hidden="1"/>
    </xf>
    <xf numFmtId="0" fontId="5" fillId="0" borderId="0" xfId="1" quotePrefix="1" applyFont="1" applyFill="1" applyAlignment="1" applyProtection="1">
      <alignment horizontal="left"/>
      <protection hidden="1"/>
    </xf>
    <xf numFmtId="0" fontId="30" fillId="3" borderId="15" xfId="0" applyFont="1" applyFill="1" applyBorder="1" applyAlignment="1" applyProtection="1">
      <alignment horizontal="center"/>
      <protection hidden="1"/>
    </xf>
    <xf numFmtId="0" fontId="30" fillId="3" borderId="3" xfId="0" applyFont="1" applyFill="1" applyBorder="1" applyAlignment="1" applyProtection="1">
      <alignment horizontal="center"/>
      <protection hidden="1"/>
    </xf>
    <xf numFmtId="0" fontId="30" fillId="3" borderId="4" xfId="0" applyFont="1" applyFill="1" applyBorder="1" applyAlignment="1" applyProtection="1">
      <alignment horizontal="center"/>
      <protection hidden="1"/>
    </xf>
    <xf numFmtId="0" fontId="7" fillId="0" borderId="0" xfId="0" applyFont="1" applyAlignment="1" applyProtection="1">
      <alignment horizontal="center"/>
      <protection hidden="1"/>
    </xf>
    <xf numFmtId="0" fontId="27" fillId="0" borderId="0" xfId="1" quotePrefix="1" applyFont="1" applyFill="1" applyAlignment="1" applyProtection="1">
      <alignment horizontal="left"/>
      <protection hidden="1"/>
    </xf>
    <xf numFmtId="0" fontId="9" fillId="0" borderId="0" xfId="0" applyFont="1" applyAlignment="1" applyProtection="1">
      <alignment horizontal="left"/>
      <protection hidden="1"/>
    </xf>
    <xf numFmtId="0" fontId="6" fillId="3" borderId="0" xfId="0" applyFont="1" applyFill="1" applyAlignment="1" applyProtection="1">
      <alignment horizontal="center"/>
      <protection hidden="1"/>
    </xf>
    <xf numFmtId="0" fontId="9" fillId="0" borderId="0" xfId="0" applyFont="1" applyAlignment="1" applyProtection="1">
      <alignment horizontal="center"/>
      <protection hidden="1"/>
    </xf>
    <xf numFmtId="0" fontId="27" fillId="0" borderId="65" xfId="1" applyFont="1" applyFill="1" applyBorder="1" applyAlignment="1" applyProtection="1">
      <alignment horizontal="left" vertical="center"/>
      <protection hidden="1"/>
    </xf>
    <xf numFmtId="0" fontId="27" fillId="0" borderId="18" xfId="1" applyFont="1" applyFill="1" applyBorder="1" applyAlignment="1" applyProtection="1">
      <alignment horizontal="left" vertical="center"/>
      <protection hidden="1"/>
    </xf>
    <xf numFmtId="0" fontId="27" fillId="0" borderId="63" xfId="1" applyFont="1" applyFill="1" applyBorder="1" applyAlignment="1" applyProtection="1">
      <alignment horizontal="left" vertical="center"/>
      <protection hidden="1"/>
    </xf>
    <xf numFmtId="0" fontId="27" fillId="0" borderId="6" xfId="1" applyFont="1" applyFill="1" applyBorder="1" applyAlignment="1" applyProtection="1">
      <alignment horizontal="left" vertical="center"/>
      <protection hidden="1"/>
    </xf>
    <xf numFmtId="0" fontId="27" fillId="0" borderId="34" xfId="1" applyFont="1" applyFill="1" applyBorder="1" applyAlignment="1" applyProtection="1">
      <alignment horizontal="left" vertical="center"/>
      <protection hidden="1"/>
    </xf>
    <xf numFmtId="0" fontId="27" fillId="0" borderId="8" xfId="1" applyFont="1" applyFill="1" applyBorder="1" applyAlignment="1" applyProtection="1">
      <alignment horizontal="left" vertical="center"/>
      <protection hidden="1"/>
    </xf>
    <xf numFmtId="0" fontId="27" fillId="0" borderId="35" xfId="1" applyFont="1" applyFill="1" applyBorder="1" applyAlignment="1" applyProtection="1">
      <alignment horizontal="left" vertical="center"/>
      <protection hidden="1"/>
    </xf>
    <xf numFmtId="0" fontId="27" fillId="0" borderId="0" xfId="1" applyFont="1" applyFill="1" applyBorder="1" applyAlignment="1" applyProtection="1">
      <alignment horizontal="left" vertical="center"/>
      <protection hidden="1"/>
    </xf>
    <xf numFmtId="0" fontId="27" fillId="0" borderId="39" xfId="1" applyFont="1" applyFill="1" applyBorder="1" applyAlignment="1" applyProtection="1">
      <alignment horizontal="left" vertical="center"/>
      <protection hidden="1"/>
    </xf>
    <xf numFmtId="0" fontId="27" fillId="0" borderId="12" xfId="1" applyFont="1" applyFill="1" applyBorder="1" applyAlignment="1" applyProtection="1">
      <alignment horizontal="left" vertical="center"/>
      <protection hidden="1"/>
    </xf>
    <xf numFmtId="0" fontId="27" fillId="0" borderId="13" xfId="1" applyFont="1" applyFill="1" applyBorder="1" applyAlignment="1" applyProtection="1">
      <alignment horizontal="left" vertical="center"/>
      <protection hidden="1"/>
    </xf>
    <xf numFmtId="0" fontId="27" fillId="0" borderId="14" xfId="1" applyFont="1" applyFill="1" applyBorder="1" applyAlignment="1" applyProtection="1">
      <alignment horizontal="left" vertical="center"/>
      <protection hidden="1"/>
    </xf>
    <xf numFmtId="0" fontId="47" fillId="0" borderId="9" xfId="1" applyFont="1" applyFill="1" applyBorder="1" applyAlignment="1" applyProtection="1">
      <alignment horizontal="left" vertical="center"/>
      <protection hidden="1"/>
    </xf>
    <xf numFmtId="0" fontId="47" fillId="0" borderId="10" xfId="1" applyFont="1" applyFill="1" applyBorder="1" applyAlignment="1" applyProtection="1">
      <alignment horizontal="left" vertical="center"/>
      <protection hidden="1"/>
    </xf>
    <xf numFmtId="0" fontId="47" fillId="0" borderId="11" xfId="1" applyFont="1" applyFill="1" applyBorder="1" applyAlignment="1" applyProtection="1">
      <alignment horizontal="left" vertical="center"/>
      <protection hidden="1"/>
    </xf>
    <xf numFmtId="0" fontId="0" fillId="0" borderId="74" xfId="0" applyBorder="1" applyAlignment="1" applyProtection="1">
      <alignment horizontal="left" vertical="center" indent="1"/>
      <protection hidden="1"/>
    </xf>
    <xf numFmtId="0" fontId="0" fillId="0" borderId="38" xfId="0" applyBorder="1" applyAlignment="1" applyProtection="1">
      <alignment horizontal="left" vertical="center" indent="1"/>
      <protection hidden="1"/>
    </xf>
    <xf numFmtId="0" fontId="0" fillId="0" borderId="26" xfId="0" applyBorder="1" applyAlignment="1" applyProtection="1">
      <alignment horizontal="left" vertical="center" indent="1"/>
      <protection hidden="1"/>
    </xf>
    <xf numFmtId="0" fontId="0" fillId="0" borderId="65" xfId="0" applyBorder="1" applyAlignment="1" applyProtection="1">
      <alignment horizontal="left" vertical="center" indent="1"/>
      <protection hidden="1"/>
    </xf>
    <xf numFmtId="0" fontId="0" fillId="0" borderId="18" xfId="0" applyBorder="1" applyAlignment="1" applyProtection="1">
      <alignment horizontal="left" vertical="center" indent="1"/>
      <protection hidden="1"/>
    </xf>
    <xf numFmtId="0" fontId="0" fillId="0" borderId="20" xfId="0" applyBorder="1" applyAlignment="1" applyProtection="1">
      <alignment horizontal="left" vertical="center" indent="1"/>
      <protection hidden="1"/>
    </xf>
    <xf numFmtId="0" fontId="0" fillId="0" borderId="74" xfId="0" applyBorder="1" applyAlignment="1" applyProtection="1">
      <alignment horizontal="left" vertical="center" wrapText="1" indent="1"/>
      <protection hidden="1"/>
    </xf>
    <xf numFmtId="0" fontId="0" fillId="0" borderId="38" xfId="0" applyBorder="1" applyAlignment="1" applyProtection="1">
      <alignment horizontal="left" vertical="center" wrapText="1" indent="1"/>
      <protection hidden="1"/>
    </xf>
    <xf numFmtId="0" fontId="0" fillId="0" borderId="26" xfId="0" applyBorder="1" applyAlignment="1" applyProtection="1">
      <alignment horizontal="left" vertical="center" wrapText="1" indent="1"/>
      <protection hidden="1"/>
    </xf>
    <xf numFmtId="0" fontId="0" fillId="0" borderId="65" xfId="0" applyBorder="1" applyAlignment="1" applyProtection="1">
      <alignment horizontal="left" vertical="center" wrapText="1" indent="1"/>
      <protection hidden="1"/>
    </xf>
    <xf numFmtId="0" fontId="0" fillId="0" borderId="18" xfId="0" applyBorder="1" applyAlignment="1" applyProtection="1">
      <alignment horizontal="left" vertical="center" wrapText="1" indent="1"/>
      <protection hidden="1"/>
    </xf>
    <xf numFmtId="0" fontId="0" fillId="0" borderId="20" xfId="0" applyBorder="1" applyAlignment="1" applyProtection="1">
      <alignment horizontal="left" vertical="center" wrapText="1" indent="1"/>
      <protection hidden="1"/>
    </xf>
    <xf numFmtId="0" fontId="0" fillId="0" borderId="35" xfId="0" applyBorder="1" applyAlignment="1" applyProtection="1">
      <alignment horizontal="left" vertical="center" wrapText="1" indent="1"/>
      <protection hidden="1"/>
    </xf>
    <xf numFmtId="0" fontId="0" fillId="0" borderId="0" xfId="0" applyAlignment="1" applyProtection="1">
      <alignment horizontal="left" vertical="center" wrapText="1" indent="1"/>
      <protection hidden="1"/>
    </xf>
    <xf numFmtId="0" fontId="0" fillId="0" borderId="25" xfId="0" applyBorder="1" applyAlignment="1" applyProtection="1">
      <alignment horizontal="left" vertical="center" wrapText="1" indent="1"/>
      <protection hidden="1"/>
    </xf>
    <xf numFmtId="0" fontId="0" fillId="0" borderId="6" xfId="0" applyBorder="1" applyAlignment="1" applyProtection="1">
      <alignment horizontal="left" vertical="center" wrapText="1" indent="1"/>
      <protection hidden="1"/>
    </xf>
    <xf numFmtId="0" fontId="0" fillId="0" borderId="34" xfId="0" applyBorder="1" applyAlignment="1" applyProtection="1">
      <alignment horizontal="left" vertical="center" wrapText="1" indent="1"/>
      <protection hidden="1"/>
    </xf>
    <xf numFmtId="0" fontId="0" fillId="0" borderId="37" xfId="0" applyBorder="1" applyAlignment="1" applyProtection="1">
      <alignment horizontal="left" vertical="center" wrapText="1" indent="1"/>
      <protection hidden="1"/>
    </xf>
    <xf numFmtId="0" fontId="0" fillId="0" borderId="74" xfId="0" applyBorder="1" applyAlignment="1" applyProtection="1">
      <alignment horizontal="left" wrapText="1" indent="1"/>
      <protection hidden="1"/>
    </xf>
    <xf numFmtId="0" fontId="0" fillId="0" borderId="38" xfId="0" applyBorder="1" applyAlignment="1" applyProtection="1">
      <alignment horizontal="left" wrapText="1" indent="1"/>
      <protection hidden="1"/>
    </xf>
    <xf numFmtId="0" fontId="0" fillId="0" borderId="26" xfId="0" applyBorder="1" applyAlignment="1" applyProtection="1">
      <alignment horizontal="left" wrapText="1" indent="1"/>
      <protection hidden="1"/>
    </xf>
    <xf numFmtId="0" fontId="0" fillId="0" borderId="65" xfId="0" applyBorder="1" applyAlignment="1" applyProtection="1">
      <alignment horizontal="left" wrapText="1" indent="1"/>
      <protection hidden="1"/>
    </xf>
    <xf numFmtId="0" fontId="0" fillId="0" borderId="18" xfId="0" applyBorder="1" applyAlignment="1" applyProtection="1">
      <alignment horizontal="left" wrapText="1" indent="1"/>
      <protection hidden="1"/>
    </xf>
    <xf numFmtId="0" fontId="0" fillId="0" borderId="20" xfId="0" applyBorder="1" applyAlignment="1" applyProtection="1">
      <alignment horizontal="left" wrapText="1" indent="1"/>
      <protection hidden="1"/>
    </xf>
    <xf numFmtId="0" fontId="35" fillId="0" borderId="40" xfId="0" applyFont="1" applyBorder="1" applyAlignment="1" applyProtection="1">
      <alignment horizontal="center" vertical="center" wrapText="1"/>
      <protection hidden="1"/>
    </xf>
    <xf numFmtId="0" fontId="35" fillId="0" borderId="48" xfId="0" applyFont="1" applyBorder="1" applyAlignment="1" applyProtection="1">
      <alignment horizontal="center" vertical="center" wrapText="1"/>
      <protection hidden="1"/>
    </xf>
    <xf numFmtId="0" fontId="35" fillId="0" borderId="67" xfId="0" applyFont="1" applyBorder="1" applyAlignment="1" applyProtection="1">
      <alignment horizontal="center" vertical="center" wrapText="1"/>
      <protection hidden="1"/>
    </xf>
    <xf numFmtId="0" fontId="0" fillId="7" borderId="74" xfId="0" applyFill="1" applyBorder="1" applyAlignment="1" applyProtection="1">
      <alignment horizontal="left" vertical="top" wrapText="1" indent="1"/>
      <protection hidden="1"/>
    </xf>
    <xf numFmtId="0" fontId="0" fillId="7" borderId="38" xfId="0" applyFill="1" applyBorder="1" applyAlignment="1" applyProtection="1">
      <alignment horizontal="left" vertical="top" wrapText="1" indent="1"/>
      <protection hidden="1"/>
    </xf>
    <xf numFmtId="0" fontId="0" fillId="7" borderId="26" xfId="0" applyFill="1" applyBorder="1" applyAlignment="1" applyProtection="1">
      <alignment horizontal="left" vertical="top" wrapText="1" indent="1"/>
      <protection hidden="1"/>
    </xf>
    <xf numFmtId="0" fontId="0" fillId="7" borderId="35" xfId="0" applyFill="1" applyBorder="1" applyAlignment="1" applyProtection="1">
      <alignment horizontal="left" vertical="top" wrapText="1" indent="1"/>
      <protection hidden="1"/>
    </xf>
    <xf numFmtId="0" fontId="0" fillId="7" borderId="0" xfId="0" applyFill="1" applyAlignment="1" applyProtection="1">
      <alignment horizontal="left" vertical="top" wrapText="1" indent="1"/>
      <protection hidden="1"/>
    </xf>
    <xf numFmtId="0" fontId="0" fillId="7" borderId="25" xfId="0" applyFill="1" applyBorder="1" applyAlignment="1" applyProtection="1">
      <alignment horizontal="left" vertical="top" wrapText="1" indent="1"/>
      <protection hidden="1"/>
    </xf>
    <xf numFmtId="0" fontId="0" fillId="7" borderId="65" xfId="0" applyFill="1" applyBorder="1" applyAlignment="1" applyProtection="1">
      <alignment horizontal="left" vertical="top" wrapText="1" indent="1"/>
      <protection hidden="1"/>
    </xf>
    <xf numFmtId="0" fontId="0" fillId="7" borderId="18" xfId="0" applyFill="1" applyBorder="1" applyAlignment="1" applyProtection="1">
      <alignment horizontal="left" vertical="top" wrapText="1" indent="1"/>
      <protection hidden="1"/>
    </xf>
    <xf numFmtId="0" fontId="0" fillId="7" borderId="20" xfId="0" applyFill="1" applyBorder="1" applyAlignment="1" applyProtection="1">
      <alignment horizontal="left" vertical="top" wrapText="1" indent="1"/>
      <protection hidden="1"/>
    </xf>
    <xf numFmtId="0" fontId="0" fillId="0" borderId="35" xfId="0" applyBorder="1" applyAlignment="1" applyProtection="1">
      <alignment horizontal="left" vertical="center" indent="1"/>
      <protection hidden="1"/>
    </xf>
    <xf numFmtId="0" fontId="0" fillId="0" borderId="25" xfId="0" applyBorder="1" applyAlignment="1" applyProtection="1">
      <alignment horizontal="left" vertical="center" indent="1"/>
      <protection hidden="1"/>
    </xf>
    <xf numFmtId="0" fontId="5" fillId="0" borderId="0" xfId="1" applyFont="1" applyFill="1" applyBorder="1" applyAlignment="1" applyProtection="1">
      <alignment horizontal="center" vertical="center"/>
      <protection hidden="1"/>
    </xf>
    <xf numFmtId="0" fontId="0" fillId="0" borderId="0" xfId="0" applyProtection="1">
      <protection hidden="1"/>
    </xf>
    <xf numFmtId="0" fontId="6" fillId="0" borderId="0" xfId="0" applyFont="1" applyAlignment="1" applyProtection="1">
      <alignment horizontal="center"/>
      <protection hidden="1"/>
    </xf>
    <xf numFmtId="0" fontId="26" fillId="0" borderId="0" xfId="2" applyAlignment="1" applyProtection="1">
      <alignment horizontal="center"/>
      <protection hidden="1"/>
    </xf>
    <xf numFmtId="0" fontId="26" fillId="3" borderId="0" xfId="2" applyFill="1" applyAlignment="1" applyProtection="1">
      <alignment horizontal="center"/>
      <protection hidden="1"/>
    </xf>
    <xf numFmtId="0" fontId="27" fillId="0" borderId="0" xfId="1" applyFont="1" applyFill="1" applyAlignment="1" applyProtection="1">
      <alignment horizontal="left" indent="1"/>
      <protection hidden="1"/>
    </xf>
  </cellXfs>
  <cellStyles count="4">
    <cellStyle name="Hyperlink" xfId="1" builtinId="8"/>
    <cellStyle name="Normal" xfId="0" builtinId="0"/>
    <cellStyle name="Normal 2" xfId="2" xr:uid="{00000000-0005-0000-0000-000002000000}"/>
    <cellStyle name="Per cent" xfId="3" builtinId="5"/>
  </cellStyles>
  <dxfs count="84">
    <dxf>
      <fill>
        <patternFill>
          <bgColor theme="0"/>
        </patternFill>
      </fill>
    </dxf>
    <dxf>
      <fill>
        <patternFill>
          <bgColor theme="9" tint="0.39994506668294322"/>
        </patternFill>
      </fill>
    </dxf>
    <dxf>
      <font>
        <color theme="0"/>
      </font>
      <fill>
        <patternFill>
          <bgColor rgb="FFFF0000"/>
        </patternFill>
      </fill>
    </dxf>
    <dxf>
      <font>
        <color theme="0"/>
      </font>
      <fill>
        <patternFill>
          <bgColor rgb="FFFF0000"/>
        </patternFill>
      </fill>
    </dxf>
    <dxf>
      <fill>
        <patternFill>
          <bgColor theme="0"/>
        </patternFill>
      </fill>
    </dxf>
    <dxf>
      <fill>
        <patternFill>
          <bgColor theme="0"/>
        </patternFill>
      </fill>
      <border>
        <right/>
      </border>
    </dxf>
    <dxf>
      <font>
        <color auto="1"/>
      </font>
      <fill>
        <patternFill>
          <bgColor rgb="FFFFFFCC"/>
        </patternFill>
      </fill>
      <border>
        <right style="thin">
          <color auto="1"/>
        </right>
      </border>
    </dxf>
    <dxf>
      <font>
        <color theme="0"/>
      </font>
      <fill>
        <patternFill>
          <bgColor rgb="FFFF0000"/>
        </patternFill>
      </fill>
    </dxf>
    <dxf>
      <font>
        <color rgb="FF9C0006"/>
      </font>
      <fill>
        <patternFill>
          <bgColor rgb="FFFFC7CE"/>
        </patternFill>
      </fill>
    </dxf>
    <dxf>
      <font>
        <color rgb="FF9C0006"/>
      </font>
    </dxf>
    <dxf>
      <font>
        <color theme="0"/>
      </font>
      <fill>
        <patternFill>
          <bgColor rgb="FFFF0000"/>
        </patternFill>
      </fill>
    </dxf>
    <dxf>
      <fill>
        <patternFill>
          <bgColor theme="0"/>
        </patternFill>
      </fill>
    </dxf>
    <dxf>
      <font>
        <color theme="0"/>
      </font>
      <fill>
        <patternFill>
          <bgColor rgb="FFFF0000"/>
        </patternFill>
      </fill>
    </dxf>
    <dxf>
      <font>
        <b/>
        <i val="0"/>
        <color theme="0"/>
      </font>
      <fill>
        <patternFill>
          <bgColor rgb="FFFF0000"/>
        </patternFill>
      </fill>
    </dxf>
    <dxf>
      <font>
        <color auto="1"/>
      </font>
      <fill>
        <patternFill>
          <bgColor rgb="FFCCFFCC"/>
        </patternFill>
      </fill>
    </dxf>
    <dxf>
      <fill>
        <patternFill>
          <bgColor theme="9" tint="0.39994506668294322"/>
        </patternFill>
      </fill>
    </dxf>
    <dxf>
      <fill>
        <patternFill>
          <bgColor theme="0"/>
        </patternFill>
      </fill>
    </dxf>
    <dxf>
      <fill>
        <patternFill>
          <bgColor theme="0"/>
        </patternFill>
      </fill>
      <border>
        <right/>
      </border>
    </dxf>
    <dxf>
      <fill>
        <patternFill>
          <bgColor theme="0"/>
        </patternFill>
      </fill>
    </dxf>
    <dxf>
      <fill>
        <patternFill>
          <bgColor theme="0"/>
        </patternFill>
      </fill>
      <border>
        <right/>
      </border>
    </dxf>
    <dxf>
      <font>
        <color theme="0"/>
      </font>
      <fill>
        <patternFill>
          <bgColor rgb="FFFF0000"/>
        </patternFill>
      </fill>
      <border>
        <right/>
        <vertical/>
        <horizontal/>
      </border>
    </dxf>
    <dxf>
      <fill>
        <patternFill>
          <bgColor theme="0"/>
        </patternFill>
      </fill>
    </dxf>
    <dxf>
      <fill>
        <patternFill>
          <bgColor theme="0"/>
        </patternFill>
      </fill>
    </dxf>
    <dxf>
      <protection locked="1" hidden="1"/>
    </dxf>
    <dxf>
      <protection locked="1" hidden="1"/>
    </dxf>
    <dxf>
      <protection locked="1" hidden="1"/>
    </dxf>
    <dxf>
      <protection locked="1" hidden="1"/>
    </dxf>
    <dxf>
      <protection locked="1" hidden="1"/>
    </dxf>
    <dxf>
      <protection locked="1" hidden="1"/>
    </dxf>
    <dxf>
      <border diagonalUp="0" diagonalDown="0">
        <left style="thin">
          <color indexed="64"/>
        </left>
        <right style="thin">
          <color indexed="64"/>
        </right>
        <top/>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CC"/>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168" formatCode="0\ &quot;µA&quot;"/>
      <fill>
        <patternFill patternType="solid">
          <fgColor indexed="64"/>
          <bgColor rgb="FFFFFFCC"/>
        </patternFill>
      </fill>
      <alignment horizontal="center" vertical="bottom" textRotation="0" wrapText="0" indent="0" justifyLastLine="0" shrinkToFit="0" readingOrder="0"/>
      <border diagonalUp="0" diagonalDown="0">
        <left/>
        <right style="thin">
          <color indexed="64"/>
        </right>
        <top style="thin">
          <color auto="1"/>
        </top>
        <bottom style="thin">
          <color auto="1"/>
        </bottom>
        <vertical/>
        <horizontal style="thin">
          <color auto="1"/>
        </horizontal>
      </border>
      <protection locked="1" hidden="1"/>
    </dxf>
    <dxf>
      <font>
        <b val="0"/>
        <i val="0"/>
        <strike val="0"/>
        <condense val="0"/>
        <extend val="0"/>
        <outline val="0"/>
        <shadow val="0"/>
        <u val="none"/>
        <vertAlign val="baseline"/>
        <sz val="11"/>
        <color theme="1"/>
        <name val="Calibri"/>
        <scheme val="none"/>
      </font>
      <numFmt numFmtId="172" formatCode="#,##0\ &quot;Ω&quot;"/>
      <fill>
        <patternFill patternType="solid">
          <fgColor indexed="64"/>
          <bgColor rgb="FFFFFFCC"/>
        </patternFill>
      </fill>
      <alignment horizontal="center" vertical="bottom" textRotation="0" wrapText="0" indent="0" justifyLastLine="0" shrinkToFit="0" readingOrder="0"/>
      <border diagonalUp="0" diagonalDown="0">
        <left/>
        <right/>
        <top style="thin">
          <color auto="1"/>
        </top>
        <bottom/>
        <vertical/>
        <horizontal/>
      </border>
      <protection locked="1" hidden="1"/>
    </dxf>
    <dxf>
      <font>
        <b val="0"/>
        <i val="0"/>
        <strike val="0"/>
        <condense val="0"/>
        <extend val="0"/>
        <outline val="0"/>
        <shadow val="0"/>
        <u val="none"/>
        <vertAlign val="baseline"/>
        <sz val="11"/>
        <color theme="1"/>
        <name val="Calibri"/>
        <scheme val="none"/>
      </font>
      <numFmt numFmtId="172" formatCode="#,##0\ &quot;Ω&quot;"/>
      <fill>
        <patternFill patternType="solid">
          <fgColor indexed="64"/>
          <bgColor rgb="FFFFFFCC"/>
        </patternFill>
      </fill>
      <alignment horizontal="center" vertical="bottom" textRotation="0" wrapText="0" indent="0" justifyLastLine="0" shrinkToFit="0" readingOrder="0"/>
      <border diagonalUp="0" diagonalDown="0">
        <left/>
        <right/>
        <top style="thin">
          <color auto="1"/>
        </top>
        <bottom/>
        <vertical/>
        <horizontal/>
      </border>
      <protection locked="1" hidden="1"/>
    </dxf>
    <dxf>
      <font>
        <b val="0"/>
        <i val="0"/>
        <strike val="0"/>
        <condense val="0"/>
        <extend val="0"/>
        <outline val="0"/>
        <shadow val="0"/>
        <u val="none"/>
        <vertAlign val="baseline"/>
        <sz val="11"/>
        <color theme="1"/>
        <name val="Calibri"/>
        <scheme val="none"/>
      </font>
      <numFmt numFmtId="172" formatCode="#,##0\ &quot;Ω&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none"/>
      </font>
      <numFmt numFmtId="172" formatCode="#,##0\ &quot;Ω&quot;"/>
      <fill>
        <patternFill patternType="solid">
          <fgColor indexed="64"/>
          <bgColor rgb="FFFFFFCC"/>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protection locked="1" hidden="1"/>
    </dxf>
    <dxf>
      <font>
        <b val="0"/>
        <i val="0"/>
        <strike val="0"/>
        <condense val="0"/>
        <extend val="0"/>
        <outline val="0"/>
        <shadow val="0"/>
        <u val="none"/>
        <vertAlign val="baseline"/>
        <sz val="11"/>
        <color theme="1"/>
        <name val="Calibri"/>
        <scheme val="none"/>
      </font>
      <numFmt numFmtId="175" formatCode="#,##0\ &quot;mV&quot;"/>
      <fill>
        <patternFill patternType="solid">
          <fgColor indexed="64"/>
          <bgColor rgb="FFFFFFCC"/>
        </patternFill>
      </fill>
      <alignment horizontal="center" vertical="bottom" textRotation="0" wrapText="0" indent="0" justifyLastLine="0" shrinkToFit="0" readingOrder="0"/>
      <border diagonalUp="0" diagonalDown="0">
        <left/>
        <right/>
        <top style="thin">
          <color auto="1"/>
        </top>
        <bottom/>
        <vertical/>
        <horizontal/>
      </border>
      <protection locked="1" hidden="1"/>
    </dxf>
    <dxf>
      <font>
        <b val="0"/>
        <i val="0"/>
        <strike val="0"/>
        <condense val="0"/>
        <extend val="0"/>
        <outline val="0"/>
        <shadow val="0"/>
        <u val="none"/>
        <vertAlign val="baseline"/>
        <sz val="11"/>
        <color theme="1"/>
        <name val="Calibri"/>
        <scheme val="none"/>
      </font>
      <numFmt numFmtId="175" formatCode="#,##0\ &quot;mV&quot;"/>
      <fill>
        <patternFill patternType="solid">
          <fgColor indexed="64"/>
          <bgColor rgb="FFFFFFCC"/>
        </patternFill>
      </fill>
      <alignment horizontal="center" vertical="bottom" textRotation="0" wrapText="0" indent="0" justifyLastLine="0" shrinkToFit="0" readingOrder="0"/>
      <border diagonalUp="0" diagonalDown="0">
        <left/>
        <right/>
        <top style="thin">
          <color auto="1"/>
        </top>
        <bottom/>
        <vertical/>
        <horizontal/>
      </border>
      <protection locked="1" hidden="1"/>
    </dxf>
    <dxf>
      <font>
        <b val="0"/>
        <i val="0"/>
        <strike val="0"/>
        <condense val="0"/>
        <extend val="0"/>
        <outline val="0"/>
        <shadow val="0"/>
        <u val="none"/>
        <vertAlign val="baseline"/>
        <sz val="11"/>
        <color theme="1"/>
        <name val="Calibri"/>
        <family val="2"/>
        <scheme val="none"/>
      </font>
      <numFmt numFmtId="175" formatCode="#,##0\ &quot;mV&quot;"/>
      <fill>
        <patternFill patternType="solid">
          <fgColor indexed="64"/>
          <bgColor rgb="FFFFFFCC"/>
        </patternFill>
      </fill>
      <alignment horizontal="center" vertical="bottom" textRotation="0" wrapText="0" indent="0" justifyLastLine="0" shrinkToFit="0" readingOrder="0"/>
      <border diagonalUp="0" diagonalDown="0">
        <left/>
        <right/>
        <top style="thin">
          <color auto="1"/>
        </top>
        <bottom/>
        <vertical/>
        <horizontal/>
      </border>
      <protection locked="1" hidden="1"/>
    </dxf>
    <dxf>
      <font>
        <b val="0"/>
        <i val="0"/>
        <strike val="0"/>
        <condense val="0"/>
        <extend val="0"/>
        <outline val="0"/>
        <shadow val="0"/>
        <u val="none"/>
        <vertAlign val="baseline"/>
        <sz val="11"/>
        <color theme="1"/>
        <name val="Calibri"/>
        <scheme val="none"/>
      </font>
      <numFmt numFmtId="175" formatCode="#,##0\ &quot;mV&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65" formatCode="0\ &quot;ppm/°C&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65" formatCode="0\ &quot;ppm/°C&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4" formatCode="0.00%"/>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4" formatCode="0.00%"/>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67" formatCode="0.00\ &quot; µV/°C&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67" formatCode="0.00\ &quot; µV/°C&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66" formatCode="0.00\ &quot;mV&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66" formatCode="0.00\ &quot;mV&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65" formatCode="0\ &quot;ppm/°C&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65" formatCode="0\ &quot;ppm/°C&quot;"/>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4" formatCode="0.00%"/>
      <fill>
        <patternFill patternType="solid">
          <fgColor indexed="64"/>
          <bgColor rgb="FFFFFFCC"/>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scheme val="minor"/>
      </font>
      <numFmt numFmtId="14" formatCode="0.00%"/>
      <fill>
        <patternFill patternType="solid">
          <fgColor indexed="64"/>
          <bgColor rgb="FFFFFFCC"/>
        </patternFill>
      </fill>
      <alignment horizontal="center" vertical="bottom" textRotation="0" wrapText="0" indent="0" justifyLastLine="0" shrinkToFit="0" readingOrder="0"/>
      <border diagonalUp="0" diagonalDown="0">
        <left/>
        <right/>
        <top style="thin">
          <color auto="1"/>
        </top>
        <bottom style="thin">
          <color auto="1"/>
        </bottom>
      </border>
      <protection locked="1" hidden="1"/>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rgb="FFFFFFCC"/>
        </patternFill>
      </fill>
      <alignment horizontal="center" vertical="bottom" textRotation="0" wrapText="0" indent="0" justifyLastLine="0" shrinkToFit="0" readingOrder="0"/>
      <border diagonalUp="0" diagonalDown="0">
        <left/>
        <right/>
        <top style="thin">
          <color auto="1"/>
        </top>
        <bottom style="thin">
          <color auto="1"/>
        </bottom>
        <vertical/>
        <horizontal/>
      </border>
      <protection locked="1" hidden="1"/>
    </dxf>
    <dxf>
      <numFmt numFmtId="30" formatCode="@"/>
      <fill>
        <patternFill patternType="solid">
          <fgColor indexed="64"/>
          <bgColor rgb="FFFFFFCC"/>
        </patternFill>
      </fill>
      <alignment horizontal="center" vertical="bottom" textRotation="0" wrapText="0" indent="0" justifyLastLine="0" shrinkToFit="0" readingOrder="0"/>
      <border diagonalUp="0" diagonalDown="0">
        <left style="thin">
          <color indexed="64"/>
        </left>
        <right/>
        <top/>
        <bottom/>
        <vertical/>
        <horizontal/>
      </border>
      <protection locked="1" hidden="1"/>
    </dxf>
    <dxf>
      <alignment horizontal="left" vertical="bottom" textRotation="0" wrapText="0" indent="0" justifyLastLine="0" shrinkToFit="0" readingOrder="0"/>
      <border>
        <right style="thin">
          <color indexed="64"/>
        </right>
      </border>
      <protection locked="1" hidden="1"/>
    </dxf>
    <dxf>
      <border outline="0">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rgb="FFFFFFCC"/>
        </patternFill>
      </fill>
      <alignment horizontal="center" vertical="bottom" textRotation="0" wrapText="0" indent="0" justifyLastLine="0" shrinkToFit="0" readingOrder="0"/>
      <protection locked="1" hidden="1"/>
    </dxf>
    <dxf>
      <border>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top/>
        <bottom/>
        <vertical/>
        <horizontal/>
      </border>
      <protection locked="1" hidden="1"/>
    </dxf>
    <dxf>
      <font>
        <b val="0"/>
        <i val="0"/>
        <strike val="0"/>
        <condense val="0"/>
        <extend val="0"/>
        <outline val="0"/>
        <shadow val="0"/>
        <u val="none"/>
        <vertAlign val="baseline"/>
        <sz val="14"/>
        <color rgb="FF464646"/>
        <name val="Arial"/>
        <scheme val="none"/>
      </font>
      <numFmt numFmtId="0" formatCode="General"/>
      <fill>
        <patternFill patternType="solid">
          <fgColor indexed="64"/>
          <bgColor rgb="FFF7F7F7"/>
        </patternFill>
      </fill>
      <alignment horizontal="center" vertical="center" textRotation="0" wrapText="1" indent="0" justifyLastLine="0" shrinkToFit="0" readingOrder="0"/>
      <protection hidden="0"/>
    </dxf>
    <dxf>
      <font>
        <b val="0"/>
        <i val="0"/>
        <strike val="0"/>
        <condense val="0"/>
        <extend val="0"/>
        <outline val="0"/>
        <shadow val="0"/>
        <u val="none"/>
        <vertAlign val="baseline"/>
        <sz val="14"/>
        <color rgb="FF464646"/>
        <name val="Arial"/>
        <scheme val="none"/>
      </font>
      <numFmt numFmtId="0" formatCode="General"/>
      <fill>
        <patternFill patternType="solid">
          <fgColor indexed="64"/>
          <bgColor rgb="FFF7F7F7"/>
        </patternFill>
      </fill>
      <alignment horizontal="center" vertical="center" textRotation="0" wrapText="1" indent="0" justifyLastLine="0" shrinkToFit="0" readingOrder="0"/>
      <protection hidden="0"/>
    </dxf>
    <dxf>
      <font>
        <b val="0"/>
        <i val="0"/>
        <strike val="0"/>
        <condense val="0"/>
        <extend val="0"/>
        <outline val="0"/>
        <shadow val="0"/>
        <u val="none"/>
        <vertAlign val="baseline"/>
        <sz val="14"/>
        <color rgb="FF464646"/>
        <name val="Arial"/>
        <scheme val="none"/>
      </font>
      <numFmt numFmtId="0" formatCode="General"/>
      <fill>
        <patternFill patternType="solid">
          <fgColor indexed="64"/>
          <bgColor rgb="FFF7F7F7"/>
        </patternFill>
      </fill>
      <alignment horizontal="center" vertical="center" textRotation="0" wrapText="1" indent="0" justifyLastLine="0" shrinkToFit="0" readingOrder="0"/>
      <protection hidden="0"/>
    </dxf>
    <dxf>
      <font>
        <b val="0"/>
        <i val="0"/>
        <strike val="0"/>
        <condense val="0"/>
        <extend val="0"/>
        <outline val="0"/>
        <shadow val="0"/>
        <u val="none"/>
        <vertAlign val="baseline"/>
        <sz val="14"/>
        <color rgb="FF464646"/>
        <name val="Arial"/>
        <scheme val="none"/>
      </font>
      <numFmt numFmtId="0" formatCode="General"/>
      <fill>
        <patternFill patternType="solid">
          <fgColor indexed="64"/>
          <bgColor rgb="FFF7F7F7"/>
        </patternFill>
      </fill>
      <alignment horizontal="center" vertical="center" textRotation="0" wrapText="1" indent="0" justifyLastLine="0" shrinkToFit="0" readingOrder="0"/>
      <protection hidden="0"/>
    </dxf>
    <dxf>
      <font>
        <b val="0"/>
        <i val="0"/>
        <strike val="0"/>
        <condense val="0"/>
        <extend val="0"/>
        <outline val="0"/>
        <shadow val="0"/>
        <u val="none"/>
        <vertAlign val="baseline"/>
        <sz val="14"/>
        <color rgb="FF464646"/>
        <name val="Arial"/>
        <scheme val="none"/>
      </font>
      <numFmt numFmtId="0" formatCode="General"/>
      <fill>
        <patternFill patternType="solid">
          <fgColor indexed="64"/>
          <bgColor rgb="FFF7F7F7"/>
        </patternFill>
      </fill>
      <alignment horizontal="center" vertical="center" textRotation="0" wrapText="1" indent="0" justifyLastLine="0" shrinkToFit="0" readingOrder="0"/>
      <protection hidden="0"/>
    </dxf>
    <dxf>
      <font>
        <b val="0"/>
        <i val="0"/>
        <strike val="0"/>
        <condense val="0"/>
        <extend val="0"/>
        <outline val="0"/>
        <shadow val="0"/>
        <u val="none"/>
        <vertAlign val="baseline"/>
        <sz val="14"/>
        <color rgb="FF464646"/>
        <name val="Arial"/>
        <scheme val="none"/>
      </font>
      <numFmt numFmtId="0" formatCode="General"/>
      <fill>
        <patternFill patternType="solid">
          <fgColor indexed="64"/>
          <bgColor rgb="FFF7F7F7"/>
        </patternFill>
      </fill>
      <alignment horizontal="center" vertical="center" textRotation="0" wrapText="1" indent="0" justifyLastLine="0" shrinkToFit="0" readingOrder="0"/>
      <protection hidden="0"/>
    </dxf>
    <dxf>
      <font>
        <b val="0"/>
        <i val="0"/>
        <strike val="0"/>
        <condense val="0"/>
        <extend val="0"/>
        <outline val="0"/>
        <shadow val="0"/>
        <u val="none"/>
        <vertAlign val="baseline"/>
        <sz val="14"/>
        <color rgb="FF464646"/>
        <name val="Arial"/>
        <scheme val="none"/>
      </font>
      <numFmt numFmtId="0" formatCode="General"/>
      <fill>
        <patternFill patternType="solid">
          <fgColor indexed="64"/>
          <bgColor rgb="FFF7F7F7"/>
        </patternFill>
      </fill>
      <alignment horizontal="center" vertical="center" textRotation="0" wrapText="1" indent="0" justifyLastLine="0" shrinkToFit="0" readingOrder="0"/>
      <protection hidden="0"/>
    </dxf>
    <dxf>
      <font>
        <b val="0"/>
        <i val="0"/>
        <strike val="0"/>
        <condense val="0"/>
        <extend val="0"/>
        <outline val="0"/>
        <shadow val="0"/>
        <u val="none"/>
        <vertAlign val="baseline"/>
        <sz val="14"/>
        <color rgb="FF464646"/>
        <name val="Arial"/>
        <scheme val="none"/>
      </font>
      <numFmt numFmtId="0" formatCode="General"/>
      <fill>
        <patternFill patternType="solid">
          <fgColor indexed="64"/>
          <bgColor rgb="FFF7F7F7"/>
        </patternFill>
      </fill>
      <alignment horizontal="center" vertical="center" textRotation="0" wrapText="1" indent="0" justifyLastLine="0" shrinkToFit="0" readingOrder="0"/>
      <protection hidden="0"/>
    </dxf>
    <dxf>
      <font>
        <b val="0"/>
        <i val="0"/>
        <strike val="0"/>
        <condense val="0"/>
        <extend val="0"/>
        <outline val="0"/>
        <shadow val="0"/>
        <u val="none"/>
        <vertAlign val="baseline"/>
        <sz val="14"/>
        <color rgb="FF464646"/>
        <name val="Arial"/>
        <scheme val="none"/>
      </font>
      <numFmt numFmtId="1" formatCode="0"/>
      <fill>
        <patternFill patternType="solid">
          <fgColor indexed="64"/>
          <bgColor rgb="FFF7F7F7"/>
        </patternFill>
      </fill>
      <alignment horizontal="center" vertical="center" textRotation="0" wrapText="1" indent="0" justifyLastLine="0" shrinkToFit="0" readingOrder="0"/>
      <border diagonalUp="0" diagonalDown="0">
        <left/>
        <right style="medium">
          <color rgb="FFC0C0C9"/>
        </right>
        <top/>
        <bottom/>
        <vertical/>
        <horizontal/>
      </border>
      <protection hidden="0"/>
    </dxf>
    <dxf>
      <font>
        <b val="0"/>
        <i val="0"/>
        <strike val="0"/>
        <condense val="0"/>
        <extend val="0"/>
        <outline val="0"/>
        <shadow val="0"/>
        <u val="none"/>
        <vertAlign val="baseline"/>
        <sz val="14"/>
        <color rgb="FF464646"/>
        <name val="Arial"/>
        <scheme val="none"/>
      </font>
      <fill>
        <patternFill patternType="solid">
          <fgColor indexed="64"/>
          <bgColor rgb="FFF7F7F7"/>
        </patternFill>
      </fill>
      <alignment horizontal="center" vertical="center" textRotation="0" wrapText="1" indent="0" justifyLastLine="0" shrinkToFit="0" readingOrder="0"/>
      <border diagonalUp="0" diagonalDown="0">
        <left/>
        <right style="medium">
          <color rgb="FFC0C0C9"/>
        </right>
        <top/>
        <bottom/>
        <vertical/>
        <horizontal/>
      </border>
      <protection hidden="0"/>
    </dxf>
    <dxf>
      <border outline="0">
        <bottom style="medium">
          <color rgb="FFC0C0C9"/>
        </bottom>
      </border>
    </dxf>
    <dxf>
      <font>
        <b val="0"/>
        <i val="0"/>
        <strike val="0"/>
        <condense val="0"/>
        <extend val="0"/>
        <outline val="0"/>
        <shadow val="0"/>
        <u val="none"/>
        <vertAlign val="baseline"/>
        <sz val="14"/>
        <color rgb="FF464646"/>
        <name val="Arial"/>
        <scheme val="none"/>
      </font>
      <fill>
        <patternFill patternType="solid">
          <fgColor indexed="64"/>
          <bgColor rgb="FFF7F7F7"/>
        </patternFill>
      </fill>
      <alignment horizontal="center" vertical="center" textRotation="0" wrapText="1" indent="0" justifyLastLine="0" shrinkToFit="0" readingOrder="0"/>
      <protection hidden="0"/>
    </dxf>
    <dxf>
      <protection hidden="0"/>
    </dxf>
  </dxfs>
  <tableStyles count="0" defaultTableStyle="TableStyleMedium2" defaultPivotStyle="PivotStyleMedium9"/>
  <colors>
    <mruColors>
      <color rgb="FFCCFFCC"/>
      <color rgb="FFFFFFCC"/>
      <color rgb="FF00FF00"/>
      <color rgb="FFBDEEFF"/>
      <color rgb="FF89E0FF"/>
      <color rgb="FFDE0000"/>
      <color rgb="FFFFFFFF"/>
      <color rgb="FF47C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hyperlink" Target="http://www.ti.co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e2e.ti.com/" TargetMode="External"/><Relationship Id="rId2" Type="http://schemas.openxmlformats.org/officeDocument/2006/relationships/image" Target="../media/image1.gif"/><Relationship Id="rId1" Type="http://schemas.openxmlformats.org/officeDocument/2006/relationships/hyperlink" Target="http://www.ti.com"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hyperlink" Target="http://www.ti.com"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gif"/><Relationship Id="rId1" Type="http://schemas.openxmlformats.org/officeDocument/2006/relationships/hyperlink" Target="http://www.ti.com" TargetMode="External"/><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gif"/><Relationship Id="rId1" Type="http://schemas.openxmlformats.org/officeDocument/2006/relationships/hyperlink" Target="http://www.ti.com" TargetMode="Externa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hyperlink" Target="http://e2e.ti.com/" TargetMode="External"/><Relationship Id="rId2" Type="http://schemas.openxmlformats.org/officeDocument/2006/relationships/image" Target="../media/image1.gif"/><Relationship Id="rId1" Type="http://schemas.openxmlformats.org/officeDocument/2006/relationships/hyperlink" Target="http://www.ti.co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152400</xdr:rowOff>
    </xdr:from>
    <xdr:to>
      <xdr:col>3</xdr:col>
      <xdr:colOff>466725</xdr:colOff>
      <xdr:row>2</xdr:row>
      <xdr:rowOff>66626</xdr:rowOff>
    </xdr:to>
    <xdr:pic>
      <xdr:nvPicPr>
        <xdr:cNvPr id="2" name="Picture 1" descr="ti logo">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152400"/>
          <a:ext cx="2314575" cy="295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638175</xdr:colOff>
      <xdr:row>0</xdr:row>
      <xdr:rowOff>133350</xdr:rowOff>
    </xdr:from>
    <xdr:ext cx="9070974" cy="342786"/>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368675" y="133350"/>
          <a:ext cx="90709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b="1">
              <a:latin typeface="+mn-lt"/>
            </a:rPr>
            <a:t>Isolated Amplifier Voltage</a:t>
          </a:r>
          <a:r>
            <a:rPr lang="en-US" sz="1600" b="1" baseline="0">
              <a:latin typeface="+mn-lt"/>
            </a:rPr>
            <a:t> Sensing Calculator: </a:t>
          </a:r>
          <a:r>
            <a:rPr lang="en-US" sz="1600" b="1">
              <a:latin typeface="+mn-lt"/>
            </a:rPr>
            <a:t>Table of Contents</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152400</xdr:rowOff>
    </xdr:from>
    <xdr:ext cx="2314575" cy="295226"/>
    <xdr:pic>
      <xdr:nvPicPr>
        <xdr:cNvPr id="2" name="Picture 1" descr="ti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152400"/>
          <a:ext cx="2314575" cy="2952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558800</xdr:colOff>
      <xdr:row>0</xdr:row>
      <xdr:rowOff>82550</xdr:rowOff>
    </xdr:from>
    <xdr:ext cx="3752850" cy="342786"/>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673850" y="82550"/>
          <a:ext cx="37528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latin typeface="+mn-lt"/>
            </a:rPr>
            <a:t>How to use this tool...</a:t>
          </a:r>
        </a:p>
      </xdr:txBody>
    </xdr:sp>
    <xdr:clientData/>
  </xdr:oneCellAnchor>
  <xdr:oneCellAnchor>
    <xdr:from>
      <xdr:col>0</xdr:col>
      <xdr:colOff>47625</xdr:colOff>
      <xdr:row>5</xdr:row>
      <xdr:rowOff>0</xdr:rowOff>
    </xdr:from>
    <xdr:ext cx="184731" cy="264560"/>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100-000004000000}"/>
            </a:ext>
          </a:extLst>
        </xdr:cNvPr>
        <xdr:cNvSpPr txBox="1"/>
      </xdr:nvSpPr>
      <xdr:spPr>
        <a:xfrm>
          <a:off x="47625" y="102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85725</xdr:colOff>
      <xdr:row>0</xdr:row>
      <xdr:rowOff>152400</xdr:rowOff>
    </xdr:from>
    <xdr:to>
      <xdr:col>3</xdr:col>
      <xdr:colOff>473075</xdr:colOff>
      <xdr:row>2</xdr:row>
      <xdr:rowOff>79326</xdr:rowOff>
    </xdr:to>
    <xdr:pic>
      <xdr:nvPicPr>
        <xdr:cNvPr id="2" name="Picture 1" descr="ti logo">
          <a:hlinkClick xmlns:r="http://schemas.openxmlformats.org/officeDocument/2006/relationships" r:id="rId1"/>
          <a:extLst>
            <a:ext uri="{FF2B5EF4-FFF2-40B4-BE49-F238E27FC236}">
              <a16:creationId xmlns:a16="http://schemas.microsoft.com/office/drawing/2014/main" id="{63FEC426-F9E1-430A-936A-7492718743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152400"/>
          <a:ext cx="2352675" cy="29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638175</xdr:colOff>
      <xdr:row>0</xdr:row>
      <xdr:rowOff>133350</xdr:rowOff>
    </xdr:from>
    <xdr:ext cx="9070974" cy="342786"/>
    <xdr:sp macro="" textlink="">
      <xdr:nvSpPr>
        <xdr:cNvPr id="3" name="TextBox 2">
          <a:extLst>
            <a:ext uri="{FF2B5EF4-FFF2-40B4-BE49-F238E27FC236}">
              <a16:creationId xmlns:a16="http://schemas.microsoft.com/office/drawing/2014/main" id="{ABFE37BE-4A38-4A84-B751-3649402818D1}"/>
            </a:ext>
          </a:extLst>
        </xdr:cNvPr>
        <xdr:cNvSpPr txBox="1"/>
      </xdr:nvSpPr>
      <xdr:spPr>
        <a:xfrm>
          <a:off x="3530600" y="133350"/>
          <a:ext cx="90709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b="1">
              <a:latin typeface="+mn-lt"/>
            </a:rPr>
            <a:t>Isolated Amplifier</a:t>
          </a:r>
          <a:r>
            <a:rPr lang="en-US" sz="1600" b="1" baseline="0">
              <a:latin typeface="+mn-lt"/>
            </a:rPr>
            <a:t> Voltage Sensing Calculator: Directions</a:t>
          </a:r>
          <a:endParaRPr lang="en-US" sz="1600" b="1">
            <a:latin typeface="+mn-lt"/>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219075</xdr:colOff>
      <xdr:row>0</xdr:row>
      <xdr:rowOff>85725</xdr:rowOff>
    </xdr:from>
    <xdr:ext cx="8763000" cy="468013"/>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838325" y="85725"/>
          <a:ext cx="8763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latin typeface="+mn-lt"/>
              <a:cs typeface="Calibri" panose="020F0502020204030204" pitchFamily="34" charset="0"/>
            </a:rPr>
            <a:t>Isolated Amplifier Voltage Sensing Calculator</a:t>
          </a:r>
        </a:p>
      </xdr:txBody>
    </xdr:sp>
    <xdr:clientData/>
  </xdr:oneCellAnchor>
  <xdr:twoCellAnchor editAs="oneCell">
    <xdr:from>
      <xdr:col>0</xdr:col>
      <xdr:colOff>95250</xdr:colOff>
      <xdr:row>0</xdr:row>
      <xdr:rowOff>133350</xdr:rowOff>
    </xdr:from>
    <xdr:to>
      <xdr:col>2</xdr:col>
      <xdr:colOff>912283</xdr:colOff>
      <xdr:row>2</xdr:row>
      <xdr:rowOff>74563</xdr:rowOff>
    </xdr:to>
    <xdr:pic>
      <xdr:nvPicPr>
        <xdr:cNvPr id="9" name="Picture 8" descr="ti logo">
          <a:hlinkClick xmlns:r="http://schemas.openxmlformats.org/officeDocument/2006/relationships" r:id="rId1"/>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33350"/>
          <a:ext cx="2324100" cy="314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7409</xdr:colOff>
          <xdr:row>5</xdr:row>
          <xdr:rowOff>0</xdr:rowOff>
        </xdr:from>
        <xdr:to>
          <xdr:col>4</xdr:col>
          <xdr:colOff>1144587</xdr:colOff>
          <xdr:row>21</xdr:row>
          <xdr:rowOff>123650</xdr:rowOff>
        </xdr:to>
        <xdr:pic>
          <xdr:nvPicPr>
            <xdr:cNvPr id="12" name="Picture 11">
              <a:extLst>
                <a:ext uri="{FF2B5EF4-FFF2-40B4-BE49-F238E27FC236}">
                  <a16:creationId xmlns:a16="http://schemas.microsoft.com/office/drawing/2014/main" id="{00000000-0008-0000-0200-00000C000000}"/>
                </a:ext>
              </a:extLst>
            </xdr:cNvPr>
            <xdr:cNvPicPr>
              <a:picLocks noChangeAspect="1"/>
              <a:extLst>
                <a:ext uri="{84589F7E-364E-4C9E-8A38-B11213B215E9}">
                  <a14:cameraTool cellRange="Picture" spid="_x0000_s18434"/>
                </a:ext>
              </a:extLst>
            </xdr:cNvPicPr>
          </xdr:nvPicPr>
          <xdr:blipFill>
            <a:blip xmlns:r="http://schemas.openxmlformats.org/officeDocument/2006/relationships" r:embed="rId3"/>
            <a:stretch>
              <a:fillRect/>
            </a:stretch>
          </xdr:blipFill>
          <xdr:spPr>
            <a:xfrm>
              <a:off x="188384" y="952500"/>
              <a:ext cx="5323416" cy="3200225"/>
            </a:xfrm>
            <a:prstGeom prst="rect">
              <a:avLst/>
            </a:prstGeom>
            <a:ln>
              <a:solidFill>
                <a:srgbClr val="FF0000"/>
              </a:solidFill>
            </a:ln>
          </xdr:spPr>
        </xdr:pic>
        <xdr:clientData/>
      </xdr:twoCellAnchor>
    </mc:Choice>
    <mc:Fallback/>
  </mc:AlternateContent>
  <xdr:twoCellAnchor editAs="oneCell">
    <xdr:from>
      <xdr:col>1</xdr:col>
      <xdr:colOff>22224</xdr:colOff>
      <xdr:row>51</xdr:row>
      <xdr:rowOff>28258</xdr:rowOff>
    </xdr:from>
    <xdr:to>
      <xdr:col>8</xdr:col>
      <xdr:colOff>904874</xdr:colOff>
      <xdr:row>60</xdr:row>
      <xdr:rowOff>11112</xdr:rowOff>
    </xdr:to>
    <xdr:pic>
      <xdr:nvPicPr>
        <xdr:cNvPr id="4" name="Picture 3">
          <a:extLst>
            <a:ext uri="{FF2B5EF4-FFF2-40B4-BE49-F238E27FC236}">
              <a16:creationId xmlns:a16="http://schemas.microsoft.com/office/drawing/2014/main" id="{8332DEC7-B009-408F-99D6-74398265B045}"/>
            </a:ext>
          </a:extLst>
        </xdr:cNvPr>
        <xdr:cNvPicPr>
          <a:picLocks noChangeAspect="1"/>
        </xdr:cNvPicPr>
      </xdr:nvPicPr>
      <xdr:blipFill rotWithShape="1">
        <a:blip xmlns:r="http://schemas.openxmlformats.org/officeDocument/2006/relationships" r:embed="rId4"/>
        <a:srcRect l="-16231" t="-988" r="-14066" b="1718"/>
        <a:stretch/>
      </xdr:blipFill>
      <xdr:spPr>
        <a:xfrm>
          <a:off x="203199" y="9839008"/>
          <a:ext cx="8258175" cy="2876867"/>
        </a:xfrm>
        <a:prstGeom prst="rect">
          <a:avLst/>
        </a:prstGeom>
        <a:ln>
          <a:solidFill>
            <a:srgbClr val="FF0000"/>
          </a:solidFill>
        </a:ln>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438150</xdr:colOff>
      <xdr:row>0</xdr:row>
      <xdr:rowOff>82550</xdr:rowOff>
    </xdr:from>
    <xdr:ext cx="8763000" cy="342786"/>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3273238" y="82550"/>
          <a:ext cx="87630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latin typeface="+mn-lt"/>
            </a:rPr>
            <a:t>Device Comparison</a:t>
          </a:r>
        </a:p>
      </xdr:txBody>
    </xdr:sp>
    <xdr:clientData/>
  </xdr:oneCellAnchor>
  <xdr:twoCellAnchor editAs="oneCell">
    <xdr:from>
      <xdr:col>0</xdr:col>
      <xdr:colOff>95250</xdr:colOff>
      <xdr:row>0</xdr:row>
      <xdr:rowOff>142875</xdr:rowOff>
    </xdr:from>
    <xdr:to>
      <xdr:col>1</xdr:col>
      <xdr:colOff>838947</xdr:colOff>
      <xdr:row>2</xdr:row>
      <xdr:rowOff>76151</xdr:rowOff>
    </xdr:to>
    <xdr:pic>
      <xdr:nvPicPr>
        <xdr:cNvPr id="5" name="Picture 4" descr="ti logo">
          <a:hlinkClick xmlns:r="http://schemas.openxmlformats.org/officeDocument/2006/relationships" r:id="rId1"/>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42875"/>
          <a:ext cx="2324100" cy="314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864728</xdr:colOff>
      <xdr:row>304</xdr:row>
      <xdr:rowOff>3723593</xdr:rowOff>
    </xdr:from>
    <xdr:to>
      <xdr:col>82</xdr:col>
      <xdr:colOff>7020598</xdr:colOff>
      <xdr:row>305</xdr:row>
      <xdr:rowOff>3715903</xdr:rowOff>
    </xdr:to>
    <xdr:pic>
      <xdr:nvPicPr>
        <xdr:cNvPr id="7" name="Picture 6">
          <a:extLst>
            <a:ext uri="{FF2B5EF4-FFF2-40B4-BE49-F238E27FC236}">
              <a16:creationId xmlns:a16="http://schemas.microsoft.com/office/drawing/2014/main" id="{6D824D27-A911-4C9D-81C6-E53F44A01594}"/>
            </a:ext>
          </a:extLst>
        </xdr:cNvPr>
        <xdr:cNvPicPr>
          <a:picLocks noChangeAspect="1"/>
        </xdr:cNvPicPr>
      </xdr:nvPicPr>
      <xdr:blipFill>
        <a:blip xmlns:r="http://schemas.openxmlformats.org/officeDocument/2006/relationships" r:embed="rId3"/>
        <a:stretch>
          <a:fillRect/>
        </a:stretch>
      </xdr:blipFill>
      <xdr:spPr>
        <a:xfrm>
          <a:off x="64777478" y="66656629"/>
          <a:ext cx="6151108" cy="3720667"/>
        </a:xfrm>
        <a:prstGeom prst="rect">
          <a:avLst/>
        </a:prstGeom>
      </xdr:spPr>
    </xdr:pic>
    <xdr:clientData/>
  </xdr:twoCellAnchor>
  <xdr:twoCellAnchor editAs="oneCell">
    <xdr:from>
      <xdr:col>82</xdr:col>
      <xdr:colOff>0</xdr:colOff>
      <xdr:row>306</xdr:row>
      <xdr:rowOff>0</xdr:rowOff>
    </xdr:from>
    <xdr:to>
      <xdr:col>83</xdr:col>
      <xdr:colOff>11872</xdr:colOff>
      <xdr:row>306</xdr:row>
      <xdr:rowOff>3646714</xdr:rowOff>
    </xdr:to>
    <xdr:pic>
      <xdr:nvPicPr>
        <xdr:cNvPr id="11" name="Picture 10">
          <a:extLst>
            <a:ext uri="{FF2B5EF4-FFF2-40B4-BE49-F238E27FC236}">
              <a16:creationId xmlns:a16="http://schemas.microsoft.com/office/drawing/2014/main" id="{1783FD44-0450-4689-903C-C7B4F9169454}"/>
            </a:ext>
          </a:extLst>
        </xdr:cNvPr>
        <xdr:cNvPicPr>
          <a:picLocks noChangeAspect="1"/>
        </xdr:cNvPicPr>
      </xdr:nvPicPr>
      <xdr:blipFill>
        <a:blip xmlns:r="http://schemas.openxmlformats.org/officeDocument/2006/relationships" r:embed="rId4"/>
        <a:stretch>
          <a:fillRect/>
        </a:stretch>
      </xdr:blipFill>
      <xdr:spPr>
        <a:xfrm>
          <a:off x="63912750" y="70389750"/>
          <a:ext cx="7699908" cy="3646714"/>
        </a:xfrm>
        <a:prstGeom prst="rect">
          <a:avLst/>
        </a:prstGeom>
      </xdr:spPr>
    </xdr:pic>
    <xdr:clientData/>
  </xdr:twoCellAnchor>
  <xdr:twoCellAnchor editAs="oneCell">
    <xdr:from>
      <xdr:col>82</xdr:col>
      <xdr:colOff>9524</xdr:colOff>
      <xdr:row>304</xdr:row>
      <xdr:rowOff>31975</xdr:rowOff>
    </xdr:from>
    <xdr:to>
      <xdr:col>82</xdr:col>
      <xdr:colOff>7620016</xdr:colOff>
      <xdr:row>304</xdr:row>
      <xdr:rowOff>3715428</xdr:rowOff>
    </xdr:to>
    <xdr:pic>
      <xdr:nvPicPr>
        <xdr:cNvPr id="12" name="Picture 11">
          <a:extLst>
            <a:ext uri="{FF2B5EF4-FFF2-40B4-BE49-F238E27FC236}">
              <a16:creationId xmlns:a16="http://schemas.microsoft.com/office/drawing/2014/main" id="{256DD32B-813D-4621-B194-A169FA9A272A}"/>
            </a:ext>
          </a:extLst>
        </xdr:cNvPr>
        <xdr:cNvPicPr>
          <a:picLocks noChangeAspect="1"/>
        </xdr:cNvPicPr>
      </xdr:nvPicPr>
      <xdr:blipFill>
        <a:blip xmlns:r="http://schemas.openxmlformats.org/officeDocument/2006/relationships" r:embed="rId5"/>
        <a:stretch>
          <a:fillRect/>
        </a:stretch>
      </xdr:blipFill>
      <xdr:spPr>
        <a:xfrm>
          <a:off x="63922274" y="62965011"/>
          <a:ext cx="7610492" cy="3678691"/>
        </a:xfrm>
        <a:prstGeom prst="rect">
          <a:avLst/>
        </a:prstGeom>
      </xdr:spPr>
    </xdr:pic>
    <xdr:clientData/>
  </xdr:twoCellAnchor>
  <xdr:twoCellAnchor editAs="oneCell">
    <xdr:from>
      <xdr:col>82</xdr:col>
      <xdr:colOff>9523</xdr:colOff>
      <xdr:row>303</xdr:row>
      <xdr:rowOff>50344</xdr:rowOff>
    </xdr:from>
    <xdr:to>
      <xdr:col>83</xdr:col>
      <xdr:colOff>0</xdr:colOff>
      <xdr:row>303</xdr:row>
      <xdr:rowOff>3686589</xdr:rowOff>
    </xdr:to>
    <xdr:pic>
      <xdr:nvPicPr>
        <xdr:cNvPr id="13" name="Picture 12">
          <a:extLst>
            <a:ext uri="{FF2B5EF4-FFF2-40B4-BE49-F238E27FC236}">
              <a16:creationId xmlns:a16="http://schemas.microsoft.com/office/drawing/2014/main" id="{88F5F492-B872-4480-BA90-D1369C865FC3}"/>
            </a:ext>
          </a:extLst>
        </xdr:cNvPr>
        <xdr:cNvPicPr>
          <a:picLocks noChangeAspect="1"/>
        </xdr:cNvPicPr>
      </xdr:nvPicPr>
      <xdr:blipFill>
        <a:blip xmlns:r="http://schemas.openxmlformats.org/officeDocument/2006/relationships" r:embed="rId6"/>
        <a:stretch>
          <a:fillRect/>
        </a:stretch>
      </xdr:blipFill>
      <xdr:spPr>
        <a:xfrm>
          <a:off x="63922273" y="59255023"/>
          <a:ext cx="7678513" cy="36314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152400</xdr:rowOff>
    </xdr:from>
    <xdr:to>
      <xdr:col>4</xdr:col>
      <xdr:colOff>215900</xdr:colOff>
      <xdr:row>2</xdr:row>
      <xdr:rowOff>126951</xdr:rowOff>
    </xdr:to>
    <xdr:pic>
      <xdr:nvPicPr>
        <xdr:cNvPr id="2" name="Picture 1" descr="ti logo">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152400"/>
          <a:ext cx="2373630" cy="291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558800</xdr:colOff>
      <xdr:row>0</xdr:row>
      <xdr:rowOff>82550</xdr:rowOff>
    </xdr:from>
    <xdr:ext cx="3752850" cy="342786"/>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4111625" y="82550"/>
          <a:ext cx="37528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latin typeface="+mn-lt"/>
            </a:rPr>
            <a:t>How to use this tool...</a:t>
          </a:r>
        </a:p>
      </xdr:txBody>
    </xdr:sp>
    <xdr:clientData/>
  </xdr:oneCellAnchor>
  <xdr:oneCellAnchor>
    <xdr:from>
      <xdr:col>0</xdr:col>
      <xdr:colOff>47625</xdr:colOff>
      <xdr:row>5</xdr:row>
      <xdr:rowOff>76200</xdr:rowOff>
    </xdr:from>
    <xdr:ext cx="184731" cy="264560"/>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400-000004000000}"/>
            </a:ext>
          </a:extLst>
        </xdr:cNvPr>
        <xdr:cNvSpPr txBox="1"/>
      </xdr:nvSpPr>
      <xdr:spPr>
        <a:xfrm>
          <a:off x="47625" y="899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133350</xdr:colOff>
      <xdr:row>5</xdr:row>
      <xdr:rowOff>161925</xdr:rowOff>
    </xdr:from>
    <xdr:to>
      <xdr:col>17</xdr:col>
      <xdr:colOff>1076324</xdr:colOff>
      <xdr:row>43</xdr:row>
      <xdr:rowOff>171451</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33350" y="984885"/>
          <a:ext cx="11306174" cy="70656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TEXAS INSTRUMENTS TEXT FILE LICENSE</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Copyright (c) 2021 Texas Instruments Incorporated</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All rights reserved not granted herein.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Limited License.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Redistributions must preserve existing copyright notices and reproduce this license (including the above copyright notice and the disclaimer and (if applicable) source code license limitations below) in the documentation and/or other materials provided with the distribution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Redistribution and use in binary form, without modification, are permitted provided that the following conditions are met:</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No reverse engineering, decompilation, or disassembly of this software is permitted with respect to any software provided in binary form.</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any redistribution and use are licensed by TI for use only with TI Devices.</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Nothing shall obligate TI to provide you with source code for the software licensed and provided to you in object code.</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If software source code is provided to you, modification and redistribution of the source code are permitted provided that the following conditions are met:</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any redistribution and use of the source code, including any resulting derivative works, are licensed by TI for use only with TI Devices.</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any redistribution and use of any object code compiled from the source code and any resulting derivative works, are licensed by TI for use only with TI Devices.</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Neither the name of Texas Instruments Incorporated nor the names of its suppliers may be used to endorse or promote products derived from this software without specific prior written permission.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DISCLAIMER.</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a:t>
          </a:r>
        </a:p>
        <a:p>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0227282/Desktop/Excel%20Calcs/AMC%20Voltage%20Sensing%20CalculatorV2/AMC%20Voltage%20Sensing%20Calculator/DeltaSigmaModulatorCalculator/DeltaSigmaModulatorFilterCalculator.xlsx" TargetMode="External"/><Relationship Id="rId1" Type="http://schemas.openxmlformats.org/officeDocument/2006/relationships/externalLinkPath" Target="/Users/a0227282/Desktop/Excel%20Calcs/AMC%20Voltage%20Sensing%20CalculatorV2/AMC%20Voltage%20Sensing%20Calculator/DeltaSigmaModulatorCalculator/DeltaSigmaModulatorFilterCalculato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0221409/Desktop/ADS1261-60%20Design%20Calculator.xlsx" TargetMode="External"/><Relationship Id="rId1" Type="http://schemas.openxmlformats.org/officeDocument/2006/relationships/externalLinkPath" Target="/Users/a0221409/Desktop/ADS1261-60%20Design%20Calculato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0227282/AppData/Local/Microsoft/Windows/INetCache/Content.Outlook/F78ED5SB/ADS1261-60%20Design%20Calculator.xlsx" TargetMode="External"/><Relationship Id="rId1" Type="http://schemas.openxmlformats.org/officeDocument/2006/relationships/externalLinkPath" Target="/Users/a0227282/AppData/Local/Microsoft/Windows/INetCache/Content.Outlook/F78ED5SB/ADS1261-60%20Design%20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lculator"/>
      <sheetName val="Help"/>
      <sheetName val="License"/>
    </sheetNames>
    <sheetDataSet>
      <sheetData sheetId="0">
        <row r="8">
          <cell r="D8">
            <v>20000</v>
          </cell>
        </row>
        <row r="9">
          <cell r="D9">
            <v>256</v>
          </cell>
        </row>
        <row r="11">
          <cell r="D11">
            <v>32</v>
          </cell>
        </row>
        <row r="81">
          <cell r="R81">
            <v>1</v>
          </cell>
        </row>
        <row r="82">
          <cell r="R82">
            <v>256</v>
          </cell>
          <cell r="U82">
            <v>32</v>
          </cell>
        </row>
        <row r="83">
          <cell r="R83">
            <v>1</v>
          </cell>
        </row>
        <row r="91">
          <cell r="R91">
            <v>256</v>
          </cell>
          <cell r="U91">
            <v>32</v>
          </cell>
        </row>
        <row r="92">
          <cell r="R92" t="b">
            <v>1</v>
          </cell>
        </row>
        <row r="93">
          <cell r="R93">
            <v>65536</v>
          </cell>
          <cell r="U93">
            <v>1024</v>
          </cell>
        </row>
        <row r="94">
          <cell r="R94">
            <v>16777216</v>
          </cell>
          <cell r="U94">
            <v>32768</v>
          </cell>
        </row>
        <row r="101">
          <cell r="Q101">
            <v>20000000</v>
          </cell>
          <cell r="T101">
            <v>78125</v>
          </cell>
          <cell r="BK101">
            <v>625000</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of Contents "/>
      <sheetName val="Common-Mode Range"/>
      <sheetName val="Code Conversions"/>
      <sheetName val="Digital Filter"/>
      <sheetName val="STATUS"/>
      <sheetName val="CRC"/>
      <sheetName val="About"/>
      <sheetName val="Help"/>
    </sheetNames>
    <sheetDataSet>
      <sheetData sheetId="0"/>
      <sheetData sheetId="1"/>
      <sheetData sheetId="2"/>
      <sheetData sheetId="3">
        <row r="84">
          <cell r="T84" t="b">
            <v>0</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of Contents "/>
      <sheetName val="Common-Mode Range"/>
      <sheetName val="Code Conversions"/>
      <sheetName val="Digital Filter"/>
      <sheetName val="STATUS"/>
      <sheetName val="CRC"/>
      <sheetName val="About"/>
      <sheetName val="Help"/>
    </sheetNames>
    <sheetDataSet>
      <sheetData sheetId="0" refreshError="1"/>
      <sheetData sheetId="1" refreshError="1"/>
      <sheetData sheetId="2" refreshError="1"/>
      <sheetData sheetId="3">
        <row r="84">
          <cell r="T84" t="b">
            <v>0</v>
          </cell>
        </row>
      </sheetData>
      <sheetData sheetId="4" refreshError="1"/>
      <sheetData sheetId="5" refreshError="1"/>
      <sheetData sheetId="6" refreshError="1"/>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S6:CB111" totalsRowShown="0" headerRowDxfId="83" dataDxfId="82" tableBorderDxfId="81">
  <autoFilter ref="BS6:CB111" xr:uid="{00000000-0009-0000-0100-000003000000}"/>
  <sortState xmlns:xlrd2="http://schemas.microsoft.com/office/spreadsheetml/2017/richdata2" ref="BS7:BS127">
    <sortCondition ref="BS1:BS122"/>
  </sortState>
  <tableColumns count="10">
    <tableColumn id="1" xr3:uid="{00000000-0010-0000-0000-000001000000}" name="R" dataDxfId="80"/>
    <tableColumn id="2" xr3:uid="{00000000-0010-0000-0000-000002000000}" name="R2" dataDxfId="79">
      <calculatedColumnFormula>Table3[[#This Row],[R]]*10</calculatedColumnFormula>
    </tableColumn>
    <tableColumn id="3" xr3:uid="{00000000-0010-0000-0000-000003000000}" name="R3" dataDxfId="78">
      <calculatedColumnFormula>Table3[[#This Row],[R2]]*10</calculatedColumnFormula>
    </tableColumn>
    <tableColumn id="4" xr3:uid="{00000000-0010-0000-0000-000004000000}" name="R4" dataDxfId="77">
      <calculatedColumnFormula>Table3[[#This Row],[R3]]*10</calculatedColumnFormula>
    </tableColumn>
    <tableColumn id="5" xr3:uid="{00000000-0010-0000-0000-000005000000}" name="R5" dataDxfId="76">
      <calculatedColumnFormula>Table3[[#This Row],[R]]/10</calculatedColumnFormula>
    </tableColumn>
    <tableColumn id="6" xr3:uid="{00000000-0010-0000-0000-000006000000}" name="R6" dataDxfId="75">
      <calculatedColumnFormula>Table3[[#This Row],[R5]]/10</calculatedColumnFormula>
    </tableColumn>
    <tableColumn id="7" xr3:uid="{00000000-0010-0000-0000-000007000000}" name="R7" dataDxfId="74">
      <calculatedColumnFormula>Table3[[#This Row],[R6]]/10</calculatedColumnFormula>
    </tableColumn>
    <tableColumn id="8" xr3:uid="{00000000-0010-0000-0000-000008000000}" name="R8" dataDxfId="73">
      <calculatedColumnFormula>Table3[[#This Row],[R7]]/10</calculatedColumnFormula>
    </tableColumn>
    <tableColumn id="9" xr3:uid="{00000000-0010-0000-0000-000009000000}" name="R9" dataDxfId="72">
      <calculatedColumnFormula>Table3[[#This Row],[R8]]/10</calculatedColumnFormula>
    </tableColumn>
    <tableColumn id="10" xr3:uid="{00000000-0010-0000-0000-00000A000000}" name="R10" dataDxfId="71">
      <calculatedColumnFormula>Table3[[#This Row],[R9]]/10</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vices" displayName="Devices" ref="A6:AK133" totalsRowShown="0" headerRowDxfId="70" dataDxfId="68" headerRowBorderDxfId="69" tableBorderDxfId="67">
  <tableColumns count="37">
    <tableColumn id="1" xr3:uid="{00000000-0010-0000-0100-000001000000}" name="Part" dataDxfId="66"/>
    <tableColumn id="15" xr3:uid="{00000000-0010-0000-0100-00000F000000}" name="Input Type" dataDxfId="65"/>
    <tableColumn id="33" xr3:uid="{A19EFE3C-741A-46B2-8ECA-EC088F01287A}" name="Output Type" dataDxfId="64"/>
    <tableColumn id="2" xr3:uid="{00000000-0010-0000-0100-000002000000}" name="Gain Error Typ" dataDxfId="63"/>
    <tableColumn id="3" xr3:uid="{00000000-0010-0000-0100-000003000000}" name="Gain Error Max" dataDxfId="62"/>
    <tableColumn id="4" xr3:uid="{00000000-0010-0000-0100-000004000000}" name="Gain Drift Typ" dataDxfId="61"/>
    <tableColumn id="5" xr3:uid="{00000000-0010-0000-0100-000005000000}" name="Gain Drift Max" dataDxfId="60"/>
    <tableColumn id="6" xr3:uid="{00000000-0010-0000-0100-000006000000}" name="Offset Error Typ" dataDxfId="59"/>
    <tableColumn id="7" xr3:uid="{00000000-0010-0000-0100-000007000000}" name="Offset Error Max" dataDxfId="58"/>
    <tableColumn id="8" xr3:uid="{00000000-0010-0000-0100-000008000000}" name="Offset Drift Typ" dataDxfId="57"/>
    <tableColumn id="9" xr3:uid="{00000000-0010-0000-0100-000009000000}" name="Offset Drift Max" dataDxfId="56"/>
    <tableColumn id="10" xr3:uid="{00000000-0010-0000-0100-00000A000000}" name="INL Typ" dataDxfId="55"/>
    <tableColumn id="11" xr3:uid="{00000000-0010-0000-0100-00000B000000}" name="INL Max" dataDxfId="54"/>
    <tableColumn id="12" xr3:uid="{00000000-0010-0000-0100-00000C000000}" name="INL Drift Typ" dataDxfId="53"/>
    <tableColumn id="13" xr3:uid="{00000000-0010-0000-0100-00000D000000}" name="INL Drift Max" dataDxfId="52"/>
    <tableColumn id="14" xr3:uid="{00000000-0010-0000-0100-00000E000000}" name="±Input Voltage Range" dataDxfId="51"/>
    <tableColumn id="34" xr3:uid="{848B6CD0-B63F-4FAE-8F53-D61506F4C1C7}" name="±Output Voltage Range" dataDxfId="50"/>
    <tableColumn id="29" xr3:uid="{00000000-0010-0000-0100-00001D000000}" name="Temp Min" dataDxfId="49"/>
    <tableColumn id="30" xr3:uid="{00000000-0010-0000-0100-00001E000000}" name="Temp Max" dataDxfId="48"/>
    <tableColumn id="18" xr3:uid="{00000000-0010-0000-0100-000012000000}" name="Input Resistor (R4)" dataDxfId="47"/>
    <tableColumn id="16" xr3:uid="{00000000-0010-0000-0100-000010000000}" name="Single-Ended Input Resistance" dataDxfId="46"/>
    <tableColumn id="31" xr3:uid="{00000000-0010-0000-0100-00001F000000}" name="Differential Input Resistance" dataDxfId="45"/>
    <tableColumn id="32" xr3:uid="{00000000-0010-0000-0100-000020000000}" name="Gain" dataDxfId="44"/>
    <tableColumn id="17" xr3:uid="{00000000-0010-0000-0100-000011000000}" name="Bias Current" dataDxfId="43"/>
    <tableColumn id="19" xr3:uid="{00000000-0010-0000-0100-000013000000}" name="Row Num" dataDxfId="42">
      <calculatedColumnFormula>ROW()-6</calculatedColumnFormula>
    </tableColumn>
    <tableColumn id="20" xr3:uid="{00000000-0010-0000-0100-000014000000}" name="Row Sel D" dataDxfId="41">
      <calculatedColumnFormula>IF(OR($AN$18=Devices[[#This Row],[Input Type]], 0=Devices[[#This Row],[Input Type]]),Devices[[#This Row],[Row Num]], " ")</calculatedColumnFormula>
    </tableColumn>
    <tableColumn id="37" xr3:uid="{EDC00B14-39B1-4C08-AD20-41106F04D699}" name="Row Sel IntRdiv" dataDxfId="40">
      <calculatedColumnFormula>IF(OR($AN$19=Devices[[#This Row],[Input Type]], 0=Devices[[#This Row],[Input Type]]),Devices[[#This Row],[Row Num]], " ")</calculatedColumnFormula>
    </tableColumn>
    <tableColumn id="21" xr3:uid="{00000000-0010-0000-0100-000015000000}" name="Row Sel SE" dataDxfId="39">
      <calculatedColumnFormula>IF(OR($AN$20=Devices[[#This Row],[Input Type]], 0=Devices[[#This Row],[Input Type]]),Devices[[#This Row],[Row Num]], " ")</calculatedColumnFormula>
    </tableColumn>
    <tableColumn id="22" xr3:uid="{00000000-0010-0000-0100-000016000000}" name="Row Sel N" dataDxfId="38">
      <calculatedColumnFormula>IF(0=Devices[[#This Row],[Input Type]], Devices[[#This Row],[Row Num]], " ")</calculatedColumnFormula>
    </tableColumn>
    <tableColumn id="23" xr3:uid="{00000000-0010-0000-0100-000017000000}" name="Sel D" dataDxfId="37">
      <calculatedColumnFormula>IFERROR(SMALL(Devices[Row Sel D], Devices[[#This Row],[Row Num]]), " ")</calculatedColumnFormula>
    </tableColumn>
    <tableColumn id="36" xr3:uid="{B3804BE4-A7D2-419A-82CF-E79DD68FCFFA}" name="Sel IntRdiv" dataDxfId="36">
      <calculatedColumnFormula>IFERROR(SMALL(Devices[Row Sel IntRdiv], Devices[[#This Row],[Row Num]]), " ")</calculatedColumnFormula>
    </tableColumn>
    <tableColumn id="24" xr3:uid="{00000000-0010-0000-0100-000018000000}" name="Sel SE" dataDxfId="35">
      <calculatedColumnFormula>IFERROR(SMALL(Devices[Row Sel SE], Devices[[#This Row],[Row Num]]), " ")</calculatedColumnFormula>
    </tableColumn>
    <tableColumn id="25" xr3:uid="{00000000-0010-0000-0100-000019000000}" name="Sel N" dataDxfId="34">
      <calculatedColumnFormula>IFERROR(SMALL(Devices[Row Sel N], Devices[[#This Row],[Row Num]]), " ")</calculatedColumnFormula>
    </tableColumn>
    <tableColumn id="26" xr3:uid="{00000000-0010-0000-0100-00001A000000}" name="Device_List_D" dataDxfId="33">
      <calculatedColumnFormula>IFERROR(INDEX(Devices[Part], Devices[[#This Row],[Sel D]], 1), "")</calculatedColumnFormula>
    </tableColumn>
    <tableColumn id="35" xr3:uid="{124104F3-2166-4F6B-83B9-A1EAA47ED0A0}" name="Device_List_IntRdiv" dataDxfId="32">
      <calculatedColumnFormula>IFERROR(INDEX(Devices[Part], Devices[[#This Row],[Sel IntRdiv]], 1), "")</calculatedColumnFormula>
    </tableColumn>
    <tableColumn id="27" xr3:uid="{00000000-0010-0000-0100-00001B000000}" name="Device_List_SE" dataDxfId="31">
      <calculatedColumnFormula>IFERROR(INDEX(Devices[Part], Devices[[#This Row],[Sel SE]], 1), "")</calculatedColumnFormula>
    </tableColumn>
    <tableColumn id="28" xr3:uid="{00000000-0010-0000-0100-00001C000000}" name="Device_List_N" dataDxfId="30">
      <calculatedColumnFormula>IFERROR(INDEX(Devices[Part], Devices[[#This Row],[Sel N]], 1),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nfig" displayName="Config" ref="CD302:CE307" totalsRowShown="0" headerRowDxfId="29" dataDxfId="28">
  <tableColumns count="2">
    <tableColumn id="1" xr3:uid="{00000000-0010-0000-0200-000001000000}" name="Configuration" dataDxfId="27"/>
    <tableColumn id="2" xr3:uid="{00000000-0010-0000-0200-000002000000}" name="Image" dataDxfId="26"/>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puts" displayName="Inputs" ref="AN16:AN20" totalsRowShown="0" headerRowDxfId="25" dataDxfId="24">
  <tableColumns count="1">
    <tableColumn id="1" xr3:uid="{00000000-0010-0000-0300-000001000000}" name="Input Type" dataDxfId="2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www.ti.com/lit/gpn/AMC1311-Q1" TargetMode="External"/><Relationship Id="rId13" Type="http://schemas.openxmlformats.org/officeDocument/2006/relationships/hyperlink" Target="http://www.ti.com/lit/gpn/AMC3302" TargetMode="External"/><Relationship Id="rId18" Type="http://schemas.openxmlformats.org/officeDocument/2006/relationships/hyperlink" Target="http://www.ti.com/lit/gpn/AMC1350" TargetMode="External"/><Relationship Id="rId26" Type="http://schemas.openxmlformats.org/officeDocument/2006/relationships/hyperlink" Target="http://www.ti.com/lit/gpn/AMC0311R-Q1" TargetMode="External"/><Relationship Id="rId3" Type="http://schemas.openxmlformats.org/officeDocument/2006/relationships/hyperlink" Target="http://www.ti.com/lit/gpn/AMC1300" TargetMode="External"/><Relationship Id="rId21" Type="http://schemas.openxmlformats.org/officeDocument/2006/relationships/hyperlink" Target="http://www.ti.com/lit/gpn/AMC1211-q1" TargetMode="External"/><Relationship Id="rId7" Type="http://schemas.openxmlformats.org/officeDocument/2006/relationships/hyperlink" Target="http://www.ti.com/lit/gpn/AMC1311" TargetMode="External"/><Relationship Id="rId12" Type="http://schemas.openxmlformats.org/officeDocument/2006/relationships/hyperlink" Target="http://www.ti.com/lit/gpn/AMC3330-Q1" TargetMode="External"/><Relationship Id="rId17" Type="http://schemas.openxmlformats.org/officeDocument/2006/relationships/hyperlink" Target="http://www.ti.com/lit/gpn/AMC1202" TargetMode="External"/><Relationship Id="rId25" Type="http://schemas.openxmlformats.org/officeDocument/2006/relationships/hyperlink" Target="http://www.ti.com/lit/gpn/AMC0311R-Q1" TargetMode="External"/><Relationship Id="rId2" Type="http://schemas.openxmlformats.org/officeDocument/2006/relationships/hyperlink" Target="http://www.ti.com/lit/gpn/AMC1300B-Q1" TargetMode="External"/><Relationship Id="rId16" Type="http://schemas.openxmlformats.org/officeDocument/2006/relationships/hyperlink" Target="http://www.ti.com/lit/gpn/AMC3302-Q1" TargetMode="External"/><Relationship Id="rId20" Type="http://schemas.openxmlformats.org/officeDocument/2006/relationships/hyperlink" Target="http://www.ti.com/lit/gpn/ISO224" TargetMode="External"/><Relationship Id="rId29" Type="http://schemas.openxmlformats.org/officeDocument/2006/relationships/printerSettings" Target="../printerSettings/printerSettings2.bin"/><Relationship Id="rId1" Type="http://schemas.openxmlformats.org/officeDocument/2006/relationships/hyperlink" Target="http://e2e.ti.com/support/data_converters/precision_data_converters/" TargetMode="External"/><Relationship Id="rId6" Type="http://schemas.openxmlformats.org/officeDocument/2006/relationships/hyperlink" Target="http://www.ti.com/lit/gpn/AMC1302-Q1" TargetMode="External"/><Relationship Id="rId11" Type="http://schemas.openxmlformats.org/officeDocument/2006/relationships/hyperlink" Target="http://www.ti.com/lit/gpn/AMC3330" TargetMode="External"/><Relationship Id="rId24" Type="http://schemas.openxmlformats.org/officeDocument/2006/relationships/hyperlink" Target="http://www.ti.com/lit/gpn/AMC0311D-Q1" TargetMode="External"/><Relationship Id="rId5" Type="http://schemas.openxmlformats.org/officeDocument/2006/relationships/hyperlink" Target="http://www.ti.com/lit/gpn/AMC1302" TargetMode="External"/><Relationship Id="rId15" Type="http://schemas.openxmlformats.org/officeDocument/2006/relationships/hyperlink" Target="http://www.ti.com/lit/gpn/AMC1411" TargetMode="External"/><Relationship Id="rId23" Type="http://schemas.openxmlformats.org/officeDocument/2006/relationships/hyperlink" Target="http://www.ti.com/lit/gpn/AMC0311D" TargetMode="External"/><Relationship Id="rId28" Type="http://schemas.openxmlformats.org/officeDocument/2006/relationships/hyperlink" Target="http://www.ti.com/lit/gpn/AMC0311S-Q1" TargetMode="External"/><Relationship Id="rId10" Type="http://schemas.openxmlformats.org/officeDocument/2006/relationships/hyperlink" Target="http://www.ti.com/lit/gpn/AMC3301-Q1" TargetMode="External"/><Relationship Id="rId19" Type="http://schemas.openxmlformats.org/officeDocument/2006/relationships/hyperlink" Target="http://www.ti.com/lit/gpn/AMC1351" TargetMode="External"/><Relationship Id="rId4" Type="http://schemas.openxmlformats.org/officeDocument/2006/relationships/hyperlink" Target="http://www.ti.com/lit/gpn/AMC1301-Q1" TargetMode="External"/><Relationship Id="rId9" Type="http://schemas.openxmlformats.org/officeDocument/2006/relationships/hyperlink" Target="http://www.ti.com/lit/gpn/AMC3301" TargetMode="External"/><Relationship Id="rId14" Type="http://schemas.openxmlformats.org/officeDocument/2006/relationships/hyperlink" Target="http://www.ti.com/lit/gpn/AMC1400" TargetMode="External"/><Relationship Id="rId22" Type="http://schemas.openxmlformats.org/officeDocument/2006/relationships/hyperlink" Target="https://www.ti.com/lit/sbaa350" TargetMode="External"/><Relationship Id="rId27" Type="http://schemas.openxmlformats.org/officeDocument/2006/relationships/hyperlink" Target="http://www.ti.com/lit/gpn/AMC0311S" TargetMode="External"/><Relationship Id="rId3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e2e.ti.com/support/data_converters/precision_data_convert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54"/>
  <sheetViews>
    <sheetView showGridLines="0" showRowColHeaders="0" zoomScaleNormal="100" workbookViewId="0">
      <selection activeCell="B9" sqref="B9:D9"/>
    </sheetView>
  </sheetViews>
  <sheetFormatPr defaultColWidth="8.73046875" defaultRowHeight="14.25"/>
  <cols>
    <col min="1" max="2" width="8.73046875" style="136"/>
    <col min="3" max="5" width="10.73046875" style="136" customWidth="1"/>
    <col min="6" max="16384" width="8.73046875" style="136"/>
  </cols>
  <sheetData>
    <row r="1" spans="1:31" ht="15" customHeight="1">
      <c r="A1" s="623"/>
      <c r="B1" s="623"/>
      <c r="C1" s="623"/>
      <c r="D1" s="623"/>
      <c r="E1" s="623"/>
      <c r="F1" s="623"/>
      <c r="G1" s="623"/>
      <c r="H1" s="623"/>
      <c r="I1" s="623"/>
      <c r="J1" s="623"/>
      <c r="K1" s="623"/>
      <c r="L1" s="623"/>
      <c r="M1" s="623"/>
      <c r="N1" s="623"/>
      <c r="O1" s="623"/>
      <c r="P1" s="623"/>
      <c r="Q1" s="623"/>
      <c r="R1" s="623"/>
      <c r="S1" s="623"/>
      <c r="T1" s="623"/>
      <c r="U1" s="623"/>
    </row>
    <row r="2" spans="1:31" ht="15" customHeight="1">
      <c r="A2" s="623"/>
      <c r="B2" s="623"/>
      <c r="C2" s="623"/>
      <c r="D2" s="623"/>
      <c r="E2" s="623"/>
      <c r="F2" s="623"/>
      <c r="G2" s="623"/>
      <c r="H2" s="623"/>
      <c r="I2" s="623"/>
      <c r="J2" s="623"/>
      <c r="K2" s="623"/>
      <c r="L2" s="623"/>
      <c r="M2" s="623"/>
      <c r="N2" s="623"/>
      <c r="O2" s="623"/>
      <c r="P2" s="623"/>
      <c r="Q2" s="623"/>
      <c r="R2" s="623"/>
      <c r="S2" s="623"/>
      <c r="T2" s="623"/>
      <c r="U2" s="623"/>
    </row>
    <row r="3" spans="1:31" ht="15" customHeight="1">
      <c r="A3" s="623"/>
      <c r="B3" s="623"/>
      <c r="C3" s="623"/>
      <c r="D3" s="623"/>
      <c r="E3" s="623"/>
      <c r="F3" s="623"/>
      <c r="G3" s="623"/>
      <c r="H3" s="623"/>
      <c r="I3" s="623"/>
      <c r="J3" s="623"/>
      <c r="K3" s="623"/>
      <c r="L3" s="623"/>
      <c r="M3" s="623"/>
      <c r="N3" s="623"/>
      <c r="O3" s="623"/>
      <c r="P3" s="623"/>
      <c r="Q3" s="623"/>
      <c r="R3" s="623"/>
      <c r="S3" s="623"/>
      <c r="T3" s="623"/>
      <c r="U3" s="623"/>
    </row>
    <row r="4" spans="1:31" ht="15" customHeight="1">
      <c r="A4" s="626"/>
      <c r="B4" s="626"/>
      <c r="C4" s="626"/>
      <c r="D4" s="626"/>
      <c r="E4" s="626"/>
      <c r="F4" s="626"/>
      <c r="G4" s="626"/>
      <c r="H4" s="626"/>
      <c r="I4" s="626"/>
      <c r="J4" s="626"/>
      <c r="K4" s="626"/>
      <c r="L4" s="626"/>
      <c r="M4" s="626"/>
      <c r="N4" s="626"/>
      <c r="O4" s="626"/>
      <c r="P4" s="626"/>
      <c r="Q4" s="626"/>
      <c r="R4" s="626"/>
      <c r="S4" s="626"/>
      <c r="T4" s="626"/>
      <c r="U4" s="626"/>
      <c r="V4" s="626"/>
      <c r="W4" s="626"/>
      <c r="X4" s="626"/>
      <c r="Y4" s="626"/>
      <c r="Z4" s="626"/>
      <c r="AA4" s="626"/>
      <c r="AB4" s="626"/>
      <c r="AC4" s="626"/>
      <c r="AD4" s="626"/>
      <c r="AE4" s="626"/>
    </row>
    <row r="5" spans="1:31" ht="15" customHeight="1"/>
    <row r="6" spans="1:31" ht="15" customHeight="1"/>
    <row r="7" spans="1:31" ht="15" customHeight="1" thickBot="1">
      <c r="B7" s="624" t="s">
        <v>3</v>
      </c>
      <c r="C7" s="624"/>
      <c r="D7" s="624"/>
      <c r="F7" s="624" t="s">
        <v>4</v>
      </c>
      <c r="G7" s="624"/>
      <c r="H7" s="624"/>
      <c r="I7" s="624"/>
      <c r="J7" s="624"/>
      <c r="K7" s="624"/>
      <c r="L7" s="624"/>
      <c r="M7" s="624"/>
      <c r="N7" s="624"/>
      <c r="O7" s="624"/>
      <c r="P7" s="624"/>
      <c r="Q7" s="624"/>
    </row>
    <row r="8" spans="1:31" ht="15" customHeight="1"/>
    <row r="9" spans="1:31" ht="15" customHeight="1">
      <c r="B9" s="627" t="s">
        <v>6</v>
      </c>
      <c r="C9" s="627"/>
      <c r="D9" s="627"/>
      <c r="E9" s="149"/>
      <c r="F9" s="625" t="s">
        <v>7</v>
      </c>
      <c r="G9" s="625"/>
      <c r="H9" s="625"/>
      <c r="I9" s="625"/>
      <c r="J9" s="625"/>
      <c r="K9" s="625"/>
      <c r="L9" s="625"/>
      <c r="M9" s="625"/>
      <c r="N9" s="625"/>
      <c r="O9" s="625"/>
      <c r="P9" s="625"/>
      <c r="Q9" s="625"/>
    </row>
    <row r="10" spans="1:31" ht="15" customHeight="1">
      <c r="B10" s="208"/>
      <c r="C10" s="208"/>
      <c r="D10" s="208"/>
      <c r="E10" s="149"/>
      <c r="F10" s="209"/>
      <c r="G10" s="209"/>
      <c r="H10" s="209"/>
      <c r="I10" s="209"/>
      <c r="J10" s="209"/>
      <c r="K10" s="209"/>
      <c r="L10" s="209"/>
      <c r="M10" s="209"/>
      <c r="N10" s="209"/>
      <c r="O10" s="209"/>
      <c r="P10" s="209"/>
      <c r="Q10" s="209"/>
    </row>
    <row r="11" spans="1:31" ht="15" customHeight="1">
      <c r="B11" s="208" t="s">
        <v>444</v>
      </c>
      <c r="C11" s="208"/>
      <c r="D11" s="208"/>
      <c r="E11" s="149"/>
      <c r="F11" s="209" t="s">
        <v>447</v>
      </c>
      <c r="G11" s="209"/>
      <c r="H11" s="209"/>
      <c r="I11" s="209"/>
      <c r="J11" s="209"/>
      <c r="K11" s="209"/>
      <c r="L11" s="209"/>
      <c r="M11" s="209"/>
      <c r="N11" s="209"/>
      <c r="O11" s="209"/>
      <c r="P11" s="209"/>
      <c r="Q11" s="209"/>
    </row>
    <row r="12" spans="1:31" ht="15" customHeight="1">
      <c r="B12" s="149"/>
      <c r="C12" s="149"/>
      <c r="D12" s="149"/>
      <c r="E12" s="149"/>
      <c r="F12" s="149"/>
      <c r="G12" s="149"/>
      <c r="H12" s="149"/>
      <c r="I12" s="149"/>
      <c r="J12" s="149"/>
      <c r="K12" s="149"/>
      <c r="L12" s="149"/>
      <c r="M12" s="149"/>
      <c r="N12" s="149"/>
      <c r="O12" s="149"/>
      <c r="P12" s="149"/>
      <c r="Q12" s="149"/>
    </row>
    <row r="13" spans="1:31" ht="15" customHeight="1">
      <c r="B13" s="628" t="s">
        <v>206</v>
      </c>
      <c r="C13" s="628"/>
      <c r="D13" s="628"/>
      <c r="E13" s="149"/>
      <c r="F13" s="625" t="s">
        <v>209</v>
      </c>
      <c r="G13" s="625"/>
      <c r="H13" s="625"/>
      <c r="I13" s="625"/>
      <c r="J13" s="625"/>
      <c r="K13" s="625"/>
      <c r="L13" s="625"/>
      <c r="M13" s="625"/>
      <c r="N13" s="625"/>
      <c r="O13" s="625"/>
      <c r="P13" s="625"/>
      <c r="Q13" s="625"/>
    </row>
    <row r="14" spans="1:31" ht="15" customHeight="1">
      <c r="B14" s="149"/>
      <c r="C14" s="149"/>
      <c r="D14" s="149"/>
      <c r="E14" s="149"/>
      <c r="F14" s="149"/>
      <c r="G14" s="211"/>
      <c r="H14" s="149"/>
      <c r="I14" s="149"/>
      <c r="J14" s="149"/>
      <c r="K14" s="149"/>
      <c r="L14" s="149"/>
      <c r="M14" s="149"/>
      <c r="N14" s="149"/>
      <c r="O14" s="149"/>
      <c r="P14" s="149"/>
      <c r="Q14" s="149"/>
    </row>
    <row r="15" spans="1:31" ht="15" customHeight="1">
      <c r="B15" s="628" t="s">
        <v>47</v>
      </c>
      <c r="C15" s="627"/>
      <c r="D15" s="627"/>
      <c r="E15" s="149"/>
      <c r="F15" s="625" t="s">
        <v>210</v>
      </c>
      <c r="G15" s="625"/>
      <c r="H15" s="625"/>
      <c r="I15" s="625"/>
      <c r="J15" s="625"/>
      <c r="K15" s="625"/>
      <c r="L15" s="625"/>
      <c r="M15" s="625"/>
      <c r="N15" s="625"/>
      <c r="O15" s="625"/>
      <c r="P15" s="625"/>
      <c r="Q15" s="625"/>
    </row>
    <row r="16" spans="1:31" ht="15" customHeight="1">
      <c r="B16" s="149"/>
      <c r="C16" s="149"/>
      <c r="D16" s="149"/>
      <c r="E16" s="149"/>
      <c r="F16" s="149"/>
      <c r="G16" s="149"/>
      <c r="H16" s="149"/>
      <c r="I16" s="149"/>
      <c r="J16" s="149"/>
      <c r="K16" s="149"/>
      <c r="L16" s="149"/>
      <c r="M16" s="149"/>
      <c r="N16" s="149"/>
      <c r="O16" s="149"/>
      <c r="P16" s="149"/>
      <c r="Q16" s="149"/>
    </row>
    <row r="17" spans="2:21" ht="15" customHeight="1">
      <c r="B17" s="628" t="s">
        <v>208</v>
      </c>
      <c r="C17" s="627"/>
      <c r="D17" s="627"/>
      <c r="E17" s="149"/>
      <c r="F17" s="625" t="s">
        <v>5</v>
      </c>
      <c r="G17" s="625"/>
      <c r="H17" s="625"/>
      <c r="I17" s="625"/>
      <c r="J17" s="625"/>
      <c r="K17" s="625"/>
      <c r="L17" s="625"/>
      <c r="M17" s="625"/>
      <c r="N17" s="625"/>
      <c r="O17" s="625"/>
      <c r="P17" s="625"/>
      <c r="Q17" s="625"/>
    </row>
    <row r="18" spans="2:21" ht="15" customHeight="1">
      <c r="B18" s="149"/>
      <c r="C18" s="149"/>
      <c r="D18" s="149"/>
    </row>
    <row r="19" spans="2:21" ht="15" customHeight="1">
      <c r="I19" s="175"/>
      <c r="J19" s="175"/>
      <c r="K19" s="175"/>
      <c r="L19" s="175"/>
      <c r="M19" s="175"/>
      <c r="N19" s="175"/>
      <c r="O19" s="175"/>
      <c r="P19" s="175"/>
      <c r="Q19" s="175"/>
      <c r="R19" s="175"/>
      <c r="S19" s="175"/>
      <c r="T19" s="175"/>
      <c r="U19" s="175"/>
    </row>
    <row r="20" spans="2:21" ht="15" customHeight="1" thickBot="1">
      <c r="B20" s="624" t="s">
        <v>12</v>
      </c>
      <c r="C20" s="624"/>
      <c r="D20" s="624"/>
      <c r="E20" s="210"/>
      <c r="F20" s="210"/>
      <c r="G20" s="210"/>
      <c r="H20" s="210"/>
      <c r="I20" s="210"/>
      <c r="J20" s="210"/>
      <c r="K20" s="210"/>
      <c r="L20" s="210"/>
      <c r="M20" s="210"/>
      <c r="N20" s="210"/>
      <c r="O20" s="210"/>
      <c r="P20" s="210"/>
      <c r="Q20" s="210"/>
    </row>
    <row r="21" spans="2:21" ht="15" customHeight="1">
      <c r="B21" s="625" t="s">
        <v>211</v>
      </c>
      <c r="C21" s="625"/>
      <c r="D21" s="625"/>
      <c r="E21" s="625"/>
      <c r="F21" s="625"/>
      <c r="G21" s="625"/>
      <c r="H21" s="625"/>
      <c r="I21" s="625"/>
      <c r="J21" s="625"/>
      <c r="K21" s="625"/>
      <c r="L21" s="625"/>
      <c r="M21" s="625"/>
      <c r="N21" s="625"/>
      <c r="O21" s="625"/>
      <c r="P21" s="625"/>
    </row>
    <row r="22" spans="2:21" ht="15" customHeight="1">
      <c r="B22" s="149"/>
      <c r="C22" s="149"/>
      <c r="D22" s="149"/>
      <c r="E22" s="149"/>
      <c r="F22" s="149"/>
      <c r="G22" s="149"/>
      <c r="H22" s="149"/>
      <c r="I22" s="149"/>
      <c r="J22" s="149"/>
      <c r="K22" s="149"/>
      <c r="L22" s="149"/>
      <c r="M22" s="149"/>
      <c r="N22" s="149"/>
      <c r="O22" s="149"/>
      <c r="P22" s="149"/>
    </row>
    <row r="23" spans="2:21" ht="15" customHeight="1"/>
    <row r="24" spans="2:21" ht="15" customHeight="1"/>
    <row r="25" spans="2:21" ht="15" customHeight="1"/>
    <row r="26" spans="2:21" ht="15" customHeight="1"/>
    <row r="27" spans="2:21" ht="15" customHeight="1"/>
    <row r="28" spans="2:21" ht="15" customHeight="1">
      <c r="C28" s="149"/>
    </row>
    <row r="29" spans="2:21" ht="15" customHeight="1"/>
    <row r="30" spans="2:21" ht="15" customHeight="1"/>
    <row r="31" spans="2:21" ht="15" customHeight="1"/>
    <row r="32" spans="2: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sheetData>
  <sheetProtection algorithmName="SHA-512" hashValue="nNz/tj7ae4C1OLP/RN/gdfI+sRtuW0VmZ/RtglIufXpGz8wTQ8xn6SE3trCTgHKzGHPziMy2oWfMW/rizgvDew==" saltValue="YUS8x/h4s1nwtNdKW2lHHw==" spinCount="100000" sheet="1" objects="1" scenarios="1"/>
  <mergeCells count="14">
    <mergeCell ref="B20:D20"/>
    <mergeCell ref="B21:P21"/>
    <mergeCell ref="F9:Q9"/>
    <mergeCell ref="B9:D9"/>
    <mergeCell ref="B17:D17"/>
    <mergeCell ref="B13:D13"/>
    <mergeCell ref="F17:Q17"/>
    <mergeCell ref="B15:D15"/>
    <mergeCell ref="F15:Q15"/>
    <mergeCell ref="A1:U3"/>
    <mergeCell ref="B7:D7"/>
    <mergeCell ref="F7:Q7"/>
    <mergeCell ref="F13:Q13"/>
    <mergeCell ref="A4:AE4"/>
  </mergeCells>
  <phoneticPr fontId="21"/>
  <hyperlinks>
    <hyperlink ref="B13" location="'PGA1 Input Range'!A1" display="PGA1 Input Range" xr:uid="{00000000-0004-0000-0000-000000000000}"/>
    <hyperlink ref="B17" location="About!A1" display="About" xr:uid="{00000000-0004-0000-0000-000001000000}"/>
    <hyperlink ref="B9" location="'PGA1 Input Range'!A1" display="PGA1 Input Range" xr:uid="{00000000-0004-0000-0000-000002000000}"/>
    <hyperlink ref="B17:D17" location="License!A1" display="License" xr:uid="{00000000-0004-0000-0000-000003000000}"/>
    <hyperlink ref="B9:D9" location="Help!R5" display="Help" xr:uid="{00000000-0004-0000-0000-000004000000}"/>
    <hyperlink ref="B13:D13" location="'Voltage Sensing Calculator'!A1" display="Voltage Sensing Calculator" xr:uid="{00000000-0004-0000-0000-000005000000}"/>
    <hyperlink ref="B15:D15" location="'Device Comparison'!O5" display="Device Comparison" xr:uid="{00000000-0004-0000-0000-000006000000}"/>
    <hyperlink ref="B11" location="Directions!A1" display="Directions" xr:uid="{5C89EAC3-EE15-48FD-95C7-BE9DC89CBFFD}"/>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E64"/>
  <sheetViews>
    <sheetView showGridLines="0" showRowColHeaders="0" topLeftCell="E30" zoomScaleNormal="100" workbookViewId="0">
      <selection activeCell="R5" sqref="R5"/>
    </sheetView>
  </sheetViews>
  <sheetFormatPr defaultColWidth="8.73046875" defaultRowHeight="14.25"/>
  <cols>
    <col min="1" max="2" width="8.73046875" style="136"/>
    <col min="3" max="3" width="14.73046875" style="136" bestFit="1" customWidth="1"/>
    <col min="4" max="4" width="19.3984375" style="136" bestFit="1" customWidth="1"/>
    <col min="5" max="5" width="20.59765625" style="136" bestFit="1" customWidth="1"/>
    <col min="6" max="6" width="15.265625" style="136" bestFit="1" customWidth="1"/>
    <col min="7" max="7" width="16.73046875" style="136" bestFit="1" customWidth="1"/>
    <col min="8" max="8" width="16.73046875" style="136" customWidth="1"/>
    <col min="9" max="9" width="15" style="136" bestFit="1" customWidth="1"/>
    <col min="10" max="12" width="8.73046875" style="136"/>
    <col min="13" max="13" width="12.73046875" style="136" customWidth="1"/>
    <col min="14" max="14" width="6.265625" style="136" customWidth="1"/>
    <col min="15" max="18" width="8.73046875" style="136"/>
    <col min="19" max="19" width="18.86328125" style="136" customWidth="1"/>
    <col min="20" max="16384" width="8.73046875" style="136"/>
  </cols>
  <sheetData>
    <row r="1" spans="1:31" ht="15" customHeight="1">
      <c r="A1" s="623"/>
      <c r="B1" s="623"/>
      <c r="C1" s="623"/>
      <c r="D1" s="623"/>
      <c r="E1" s="623"/>
      <c r="F1" s="623"/>
      <c r="G1" s="623"/>
      <c r="H1" s="623"/>
      <c r="I1" s="623"/>
      <c r="J1" s="623"/>
      <c r="K1" s="623"/>
      <c r="L1" s="623"/>
      <c r="M1" s="623"/>
      <c r="N1" s="623"/>
      <c r="O1" s="623"/>
      <c r="P1" s="623"/>
      <c r="Q1" s="623"/>
      <c r="R1" s="623"/>
      <c r="S1" s="623"/>
    </row>
    <row r="2" spans="1:31" ht="15" customHeight="1">
      <c r="A2" s="623"/>
      <c r="B2" s="623"/>
      <c r="C2" s="623"/>
      <c r="D2" s="623"/>
      <c r="E2" s="623"/>
      <c r="F2" s="623"/>
      <c r="G2" s="623"/>
      <c r="H2" s="623"/>
      <c r="I2" s="623"/>
      <c r="J2" s="623"/>
      <c r="K2" s="623"/>
      <c r="L2" s="623"/>
      <c r="M2" s="623"/>
      <c r="N2" s="623"/>
      <c r="O2" s="623"/>
      <c r="P2" s="623"/>
      <c r="Q2" s="623"/>
      <c r="R2" s="623"/>
      <c r="S2" s="623"/>
    </row>
    <row r="3" spans="1:31" ht="15" customHeight="1">
      <c r="A3" s="623"/>
      <c r="B3" s="623"/>
      <c r="C3" s="623"/>
      <c r="D3" s="623"/>
      <c r="E3" s="623"/>
      <c r="F3" s="623"/>
      <c r="G3" s="623"/>
      <c r="H3" s="623"/>
      <c r="I3" s="623"/>
      <c r="J3" s="623"/>
      <c r="K3" s="623"/>
      <c r="L3" s="623"/>
      <c r="M3" s="623"/>
      <c r="N3" s="623"/>
      <c r="O3" s="623"/>
      <c r="P3" s="623"/>
      <c r="Q3" s="623"/>
      <c r="R3" s="623"/>
      <c r="S3" s="623"/>
    </row>
    <row r="4" spans="1:31" s="149" customFormat="1" ht="15" customHeight="1">
      <c r="A4" s="635"/>
      <c r="B4" s="635"/>
      <c r="C4" s="635"/>
      <c r="D4" s="635"/>
      <c r="E4" s="635"/>
      <c r="F4" s="635"/>
      <c r="G4" s="635"/>
      <c r="H4" s="635"/>
      <c r="I4" s="635"/>
      <c r="J4" s="635"/>
      <c r="K4" s="635"/>
      <c r="L4" s="635"/>
      <c r="M4" s="635"/>
      <c r="N4" s="635"/>
      <c r="O4" s="635"/>
      <c r="P4" s="635"/>
      <c r="Q4" s="635"/>
      <c r="R4" s="635"/>
      <c r="S4" s="635"/>
      <c r="T4" s="635"/>
      <c r="U4" s="635"/>
      <c r="V4" s="635"/>
      <c r="W4" s="635"/>
      <c r="X4" s="635"/>
      <c r="Y4" s="635"/>
      <c r="Z4" s="635"/>
      <c r="AA4" s="635"/>
      <c r="AB4" s="635"/>
      <c r="AC4" s="635"/>
      <c r="AD4" s="635"/>
      <c r="AE4" s="635"/>
    </row>
    <row r="5" spans="1:31" s="149" customFormat="1" ht="15" customHeight="1">
      <c r="A5" s="212" t="s">
        <v>446</v>
      </c>
      <c r="B5" s="213"/>
      <c r="C5" s="213"/>
      <c r="D5" s="213"/>
      <c r="E5" s="213"/>
      <c r="F5" s="213"/>
      <c r="G5" s="213"/>
      <c r="H5" s="213"/>
      <c r="I5" s="213"/>
      <c r="J5" s="213"/>
      <c r="K5" s="213"/>
      <c r="L5" s="213"/>
      <c r="M5" s="213"/>
      <c r="N5" s="213"/>
      <c r="O5" s="213"/>
      <c r="R5" s="227" t="s">
        <v>8</v>
      </c>
      <c r="T5" s="214"/>
    </row>
    <row r="6" spans="1:31" s="149" customFormat="1" ht="15" customHeight="1">
      <c r="A6" s="214"/>
      <c r="B6" s="214"/>
      <c r="C6" s="214"/>
      <c r="D6" s="214"/>
      <c r="E6" s="214"/>
      <c r="F6" s="214"/>
      <c r="G6" s="214"/>
      <c r="H6" s="214"/>
      <c r="I6" s="214"/>
      <c r="J6" s="214"/>
      <c r="K6" s="214"/>
      <c r="L6" s="214"/>
      <c r="M6" s="214"/>
      <c r="N6" s="214"/>
      <c r="O6" s="214"/>
      <c r="P6" s="214"/>
      <c r="Q6" s="214"/>
      <c r="R6" s="214"/>
      <c r="S6" s="214"/>
      <c r="T6" s="214"/>
    </row>
    <row r="7" spans="1:31" s="149" customFormat="1" ht="15" customHeight="1">
      <c r="A7" s="214"/>
      <c r="B7" s="632" t="s">
        <v>154</v>
      </c>
      <c r="C7" s="632"/>
      <c r="D7" s="632"/>
      <c r="E7" s="632"/>
      <c r="F7" s="632"/>
      <c r="G7" s="632"/>
      <c r="H7" s="632"/>
      <c r="I7" s="632"/>
      <c r="J7" s="214"/>
      <c r="K7" s="214"/>
      <c r="L7" s="214"/>
      <c r="M7" s="214"/>
      <c r="N7" s="214"/>
      <c r="O7" s="214"/>
      <c r="P7" s="214"/>
      <c r="Q7" s="214"/>
      <c r="R7" s="214"/>
      <c r="S7" s="214"/>
      <c r="T7" s="214"/>
    </row>
    <row r="8" spans="1:31" s="149" customFormat="1" ht="15" customHeight="1">
      <c r="A8" s="214"/>
      <c r="B8" s="214"/>
      <c r="C8" s="214"/>
      <c r="D8" s="214"/>
      <c r="E8" s="214"/>
      <c r="F8" s="214"/>
      <c r="G8" s="214"/>
      <c r="H8" s="214"/>
      <c r="I8" s="214"/>
      <c r="J8" s="214"/>
      <c r="K8" s="214"/>
      <c r="L8" s="214"/>
      <c r="M8" s="214"/>
      <c r="N8" s="214"/>
      <c r="O8" s="214"/>
      <c r="P8" s="214"/>
      <c r="Q8" s="214"/>
      <c r="R8" s="214"/>
      <c r="S8" s="214"/>
      <c r="T8" s="214"/>
    </row>
    <row r="9" spans="1:31" s="149" customFormat="1" ht="15" customHeight="1">
      <c r="A9" s="214"/>
      <c r="B9" s="214" t="s">
        <v>155</v>
      </c>
      <c r="C9" s="214"/>
      <c r="D9" s="214"/>
      <c r="E9" s="214"/>
      <c r="F9" s="214"/>
      <c r="G9" s="214"/>
      <c r="H9" s="214"/>
      <c r="I9" s="232" t="s">
        <v>448</v>
      </c>
      <c r="J9" s="214"/>
      <c r="K9" s="214"/>
      <c r="L9" s="214"/>
      <c r="M9" s="214"/>
      <c r="N9" s="214"/>
      <c r="O9" s="214"/>
      <c r="P9" s="214"/>
      <c r="Q9" s="214"/>
      <c r="R9" s="214"/>
      <c r="S9" s="214"/>
      <c r="T9" s="214"/>
    </row>
    <row r="10" spans="1:31" s="149" customFormat="1" ht="15" customHeight="1">
      <c r="A10" s="214"/>
      <c r="B10" s="214"/>
      <c r="C10" s="214"/>
      <c r="D10" s="214"/>
      <c r="E10" s="214"/>
      <c r="F10" s="214"/>
      <c r="G10" s="214"/>
      <c r="H10" s="214"/>
      <c r="I10" s="214"/>
      <c r="J10" s="214"/>
      <c r="K10" s="214"/>
      <c r="L10" s="214"/>
      <c r="M10" s="214"/>
      <c r="N10" s="214"/>
      <c r="O10" s="214"/>
      <c r="P10" s="214"/>
      <c r="Q10" s="214"/>
      <c r="R10" s="214"/>
      <c r="S10" s="214"/>
      <c r="T10" s="214"/>
    </row>
    <row r="11" spans="1:31" s="149" customFormat="1" ht="15" customHeight="1">
      <c r="A11" s="214"/>
      <c r="B11" s="214" t="s">
        <v>151</v>
      </c>
      <c r="C11" s="214"/>
      <c r="D11" s="214"/>
      <c r="E11" s="214"/>
      <c r="F11" s="214"/>
      <c r="G11" s="214"/>
      <c r="H11" s="214"/>
      <c r="I11" s="214"/>
      <c r="J11" s="214"/>
      <c r="K11" s="214"/>
      <c r="L11" s="214"/>
      <c r="M11" s="214"/>
      <c r="N11" s="214"/>
      <c r="O11" s="214"/>
      <c r="P11" s="214"/>
      <c r="Q11" s="214"/>
      <c r="R11" s="214"/>
      <c r="S11" s="214"/>
      <c r="T11" s="214"/>
    </row>
    <row r="12" spans="1:31" s="149" customFormat="1" ht="15" customHeight="1" thickBot="1">
      <c r="A12" s="214"/>
      <c r="B12" s="214"/>
      <c r="C12" s="634"/>
      <c r="D12" s="634"/>
      <c r="E12" s="213"/>
      <c r="F12" s="215"/>
      <c r="G12" s="215"/>
      <c r="H12" s="215"/>
      <c r="I12" s="215"/>
      <c r="J12" s="215"/>
      <c r="K12" s="214"/>
      <c r="L12" s="214"/>
      <c r="M12" s="214"/>
      <c r="N12" s="214"/>
      <c r="O12" s="214"/>
      <c r="P12" s="214"/>
      <c r="Q12" s="214"/>
      <c r="R12" s="214"/>
      <c r="S12" s="214"/>
      <c r="T12" s="214"/>
    </row>
    <row r="13" spans="1:31" s="149" customFormat="1" ht="15" customHeight="1" thickBot="1">
      <c r="A13" s="214"/>
      <c r="B13" s="214"/>
      <c r="C13" s="216" t="s">
        <v>220</v>
      </c>
      <c r="D13" s="216" t="s">
        <v>221</v>
      </c>
      <c r="E13" s="216" t="s">
        <v>222</v>
      </c>
      <c r="F13" s="216" t="s">
        <v>223</v>
      </c>
      <c r="G13" s="216" t="s">
        <v>224</v>
      </c>
      <c r="H13" s="216" t="s">
        <v>268</v>
      </c>
      <c r="I13" s="216" t="s">
        <v>225</v>
      </c>
      <c r="J13" s="629" t="s">
        <v>226</v>
      </c>
      <c r="K13" s="630"/>
      <c r="L13" s="630"/>
      <c r="M13" s="631"/>
      <c r="N13" s="214"/>
      <c r="O13" s="214"/>
      <c r="P13" s="214"/>
      <c r="Q13" s="214"/>
      <c r="R13" s="214"/>
      <c r="S13" s="214"/>
    </row>
    <row r="14" spans="1:31" s="149" customFormat="1" ht="15" customHeight="1">
      <c r="A14" s="214"/>
      <c r="B14" s="214"/>
      <c r="C14" s="386" t="s">
        <v>452</v>
      </c>
      <c r="D14" s="366" t="s">
        <v>252</v>
      </c>
      <c r="E14" s="366" t="s">
        <v>464</v>
      </c>
      <c r="F14" s="366" t="s">
        <v>230</v>
      </c>
      <c r="G14" s="366"/>
      <c r="H14" s="366"/>
      <c r="I14" s="367"/>
      <c r="J14" s="649" t="s">
        <v>466</v>
      </c>
      <c r="K14" s="650"/>
      <c r="L14" s="650"/>
      <c r="M14" s="651"/>
      <c r="N14" s="214"/>
      <c r="O14" s="214"/>
      <c r="P14" s="214"/>
      <c r="Q14" s="214"/>
      <c r="R14" s="214"/>
      <c r="S14" s="214"/>
    </row>
    <row r="15" spans="1:31" s="149" customFormat="1" ht="15" customHeight="1">
      <c r="A15" s="214"/>
      <c r="B15" s="214"/>
      <c r="C15" s="387" t="s">
        <v>453</v>
      </c>
      <c r="D15" s="366" t="s">
        <v>252</v>
      </c>
      <c r="E15" s="366" t="s">
        <v>464</v>
      </c>
      <c r="F15" s="366" t="s">
        <v>230</v>
      </c>
      <c r="G15" s="368"/>
      <c r="H15" s="368" t="s">
        <v>231</v>
      </c>
      <c r="I15" s="369"/>
      <c r="J15" s="389" t="s">
        <v>467</v>
      </c>
      <c r="K15" s="382"/>
      <c r="L15" s="382"/>
      <c r="M15" s="383"/>
      <c r="N15" s="214"/>
      <c r="O15" s="214"/>
      <c r="P15" s="214"/>
      <c r="Q15" s="214"/>
      <c r="R15" s="214"/>
      <c r="S15" s="214"/>
    </row>
    <row r="16" spans="1:31" s="149" customFormat="1" ht="27.95" customHeight="1">
      <c r="A16" s="214"/>
      <c r="B16" s="214"/>
      <c r="C16" s="388" t="s">
        <v>454</v>
      </c>
      <c r="D16" s="366" t="s">
        <v>252</v>
      </c>
      <c r="E16" s="368" t="s">
        <v>465</v>
      </c>
      <c r="F16" s="366" t="s">
        <v>230</v>
      </c>
      <c r="G16" s="368"/>
      <c r="H16" s="368" t="s">
        <v>231</v>
      </c>
      <c r="I16" s="369"/>
      <c r="J16" s="389" t="s">
        <v>470</v>
      </c>
      <c r="K16" s="382"/>
      <c r="L16" s="382"/>
      <c r="M16" s="383"/>
      <c r="N16" s="214"/>
      <c r="O16" s="214"/>
      <c r="P16" s="214"/>
      <c r="Q16" s="214"/>
      <c r="R16" s="214"/>
      <c r="S16" s="214"/>
    </row>
    <row r="17" spans="1:19" s="149" customFormat="1" ht="27.95" customHeight="1">
      <c r="A17" s="214"/>
      <c r="B17" s="214"/>
      <c r="C17" s="388" t="s">
        <v>456</v>
      </c>
      <c r="D17" s="366" t="s">
        <v>252</v>
      </c>
      <c r="E17" s="368" t="s">
        <v>465</v>
      </c>
      <c r="F17" s="366" t="s">
        <v>230</v>
      </c>
      <c r="G17" s="368"/>
      <c r="H17" s="368" t="s">
        <v>231</v>
      </c>
      <c r="I17" s="369"/>
      <c r="J17" s="389" t="s">
        <v>470</v>
      </c>
      <c r="K17" s="382"/>
      <c r="L17" s="382"/>
      <c r="M17" s="383"/>
      <c r="N17" s="214"/>
      <c r="O17" s="214"/>
      <c r="P17" s="214"/>
      <c r="Q17" s="214"/>
      <c r="R17" s="214"/>
      <c r="S17" s="214"/>
    </row>
    <row r="18" spans="1:19" s="149" customFormat="1" ht="15" customHeight="1">
      <c r="A18" s="214"/>
      <c r="B18" s="214"/>
      <c r="C18" s="387" t="s">
        <v>457</v>
      </c>
      <c r="D18" s="366" t="s">
        <v>252</v>
      </c>
      <c r="E18" s="368" t="s">
        <v>465</v>
      </c>
      <c r="F18" s="366" t="s">
        <v>230</v>
      </c>
      <c r="G18" s="368"/>
      <c r="H18" s="368"/>
      <c r="I18" s="369"/>
      <c r="J18" s="389" t="s">
        <v>468</v>
      </c>
      <c r="K18" s="382"/>
      <c r="L18" s="382"/>
      <c r="M18" s="383"/>
      <c r="N18" s="214"/>
      <c r="O18" s="214"/>
      <c r="P18" s="214"/>
      <c r="Q18" s="214"/>
      <c r="R18" s="214"/>
      <c r="S18" s="214"/>
    </row>
    <row r="19" spans="1:19" s="149" customFormat="1" ht="15" customHeight="1">
      <c r="A19" s="214"/>
      <c r="B19" s="214"/>
      <c r="C19" s="387" t="s">
        <v>458</v>
      </c>
      <c r="D19" s="366" t="s">
        <v>252</v>
      </c>
      <c r="E19" s="368" t="s">
        <v>465</v>
      </c>
      <c r="F19" s="366" t="s">
        <v>230</v>
      </c>
      <c r="G19" s="368"/>
      <c r="H19" s="368" t="s">
        <v>231</v>
      </c>
      <c r="I19" s="369"/>
      <c r="J19" s="390" t="s">
        <v>469</v>
      </c>
      <c r="K19" s="384"/>
      <c r="L19" s="384"/>
      <c r="M19" s="385"/>
      <c r="N19" s="214"/>
      <c r="O19" s="214"/>
      <c r="P19" s="214"/>
      <c r="Q19" s="214"/>
      <c r="R19" s="214"/>
      <c r="S19" s="214"/>
    </row>
    <row r="20" spans="1:19" s="149" customFormat="1" ht="15" customHeight="1">
      <c r="A20" s="214"/>
      <c r="B20" s="214"/>
      <c r="C20" s="370" t="s">
        <v>215</v>
      </c>
      <c r="D20" s="371" t="s">
        <v>228</v>
      </c>
      <c r="E20" s="372" t="s">
        <v>229</v>
      </c>
      <c r="F20" s="371" t="s">
        <v>238</v>
      </c>
      <c r="G20" s="372"/>
      <c r="H20" s="371"/>
      <c r="I20" s="371"/>
      <c r="J20" s="637" t="s">
        <v>239</v>
      </c>
      <c r="K20" s="638"/>
      <c r="L20" s="638"/>
      <c r="M20" s="639"/>
      <c r="N20" s="214"/>
      <c r="O20" s="214"/>
      <c r="P20" s="214"/>
      <c r="Q20" s="214"/>
      <c r="R20" s="214"/>
      <c r="S20" s="214"/>
    </row>
    <row r="21" spans="1:19" s="149" customFormat="1" ht="15" customHeight="1">
      <c r="A21" s="214"/>
      <c r="B21" s="214"/>
      <c r="C21" s="373" t="s">
        <v>201</v>
      </c>
      <c r="D21" s="374" t="s">
        <v>252</v>
      </c>
      <c r="E21" s="375" t="s">
        <v>263</v>
      </c>
      <c r="F21" s="374" t="s">
        <v>238</v>
      </c>
      <c r="G21" s="375"/>
      <c r="H21" s="374" t="s">
        <v>231</v>
      </c>
      <c r="I21" s="374"/>
      <c r="J21" s="643" t="s">
        <v>433</v>
      </c>
      <c r="K21" s="644"/>
      <c r="L21" s="644"/>
      <c r="M21" s="645"/>
      <c r="N21" s="214"/>
      <c r="O21" s="214"/>
      <c r="P21" s="214"/>
      <c r="Q21" s="214"/>
      <c r="R21" s="214"/>
      <c r="S21" s="214"/>
    </row>
    <row r="22" spans="1:19" s="149" customFormat="1" ht="15" customHeight="1">
      <c r="A22" s="214"/>
      <c r="B22" s="214"/>
      <c r="C22" s="373" t="s">
        <v>78</v>
      </c>
      <c r="D22" s="374" t="s">
        <v>228</v>
      </c>
      <c r="E22" s="375" t="s">
        <v>240</v>
      </c>
      <c r="F22" s="374" t="s">
        <v>230</v>
      </c>
      <c r="G22" s="375"/>
      <c r="H22" s="374"/>
      <c r="I22" s="374"/>
      <c r="J22" s="640" t="s">
        <v>244</v>
      </c>
      <c r="K22" s="641"/>
      <c r="L22" s="641"/>
      <c r="M22" s="642"/>
      <c r="N22" s="214"/>
      <c r="O22" s="214"/>
      <c r="P22" s="214"/>
      <c r="Q22" s="214"/>
      <c r="R22" s="214"/>
      <c r="S22" s="214"/>
    </row>
    <row r="23" spans="1:19" s="149" customFormat="1" ht="15" customHeight="1">
      <c r="A23" s="214"/>
      <c r="B23" s="214"/>
      <c r="C23" s="376" t="s">
        <v>245</v>
      </c>
      <c r="D23" s="371" t="s">
        <v>228</v>
      </c>
      <c r="E23" s="372" t="s">
        <v>240</v>
      </c>
      <c r="F23" s="371" t="s">
        <v>230</v>
      </c>
      <c r="G23" s="372"/>
      <c r="H23" s="371" t="s">
        <v>231</v>
      </c>
      <c r="I23" s="371"/>
      <c r="J23" s="640" t="s">
        <v>246</v>
      </c>
      <c r="K23" s="641"/>
      <c r="L23" s="641"/>
      <c r="M23" s="642"/>
      <c r="N23" s="214"/>
      <c r="O23" s="214"/>
      <c r="P23" s="214"/>
      <c r="Q23" s="217"/>
      <c r="R23" s="214"/>
      <c r="S23" s="214"/>
    </row>
    <row r="24" spans="1:19" s="149" customFormat="1" ht="15" customHeight="1">
      <c r="A24" s="214"/>
      <c r="B24" s="214"/>
      <c r="C24" s="373" t="s">
        <v>79</v>
      </c>
      <c r="D24" s="374" t="s">
        <v>228</v>
      </c>
      <c r="E24" s="375" t="s">
        <v>240</v>
      </c>
      <c r="F24" s="374" t="s">
        <v>230</v>
      </c>
      <c r="G24" s="375"/>
      <c r="H24" s="374"/>
      <c r="I24" s="374"/>
      <c r="J24" s="640" t="s">
        <v>249</v>
      </c>
      <c r="K24" s="641"/>
      <c r="L24" s="641"/>
      <c r="M24" s="642"/>
      <c r="N24" s="214"/>
      <c r="O24" s="214"/>
      <c r="P24" s="214"/>
      <c r="Q24" s="214"/>
      <c r="R24" s="214"/>
      <c r="S24" s="214"/>
    </row>
    <row r="25" spans="1:19" s="149" customFormat="1" ht="15" customHeight="1">
      <c r="A25" s="214"/>
      <c r="B25" s="214"/>
      <c r="C25" s="370" t="s">
        <v>48</v>
      </c>
      <c r="D25" s="371" t="s">
        <v>228</v>
      </c>
      <c r="E25" s="372" t="s">
        <v>240</v>
      </c>
      <c r="F25" s="371" t="s">
        <v>230</v>
      </c>
      <c r="G25" s="372"/>
      <c r="H25" s="371" t="s">
        <v>231</v>
      </c>
      <c r="I25" s="371"/>
      <c r="J25" s="640" t="s">
        <v>250</v>
      </c>
      <c r="K25" s="641"/>
      <c r="L25" s="641"/>
      <c r="M25" s="642"/>
      <c r="N25" s="214"/>
      <c r="O25" s="214"/>
      <c r="P25" s="214"/>
      <c r="Q25" s="214"/>
      <c r="R25" s="214"/>
      <c r="S25" s="214"/>
    </row>
    <row r="26" spans="1:19" s="149" customFormat="1" ht="15" customHeight="1">
      <c r="A26" s="214"/>
      <c r="B26" s="214"/>
      <c r="C26" s="373" t="s">
        <v>11</v>
      </c>
      <c r="D26" s="374" t="s">
        <v>228</v>
      </c>
      <c r="E26" s="375" t="s">
        <v>229</v>
      </c>
      <c r="F26" s="374" t="s">
        <v>230</v>
      </c>
      <c r="G26" s="375"/>
      <c r="H26" s="374"/>
      <c r="I26" s="374"/>
      <c r="J26" s="640" t="s">
        <v>235</v>
      </c>
      <c r="K26" s="641"/>
      <c r="L26" s="641"/>
      <c r="M26" s="642"/>
      <c r="N26" s="214"/>
      <c r="O26" s="214"/>
      <c r="P26" s="214"/>
      <c r="Q26" s="214"/>
      <c r="R26" s="214"/>
      <c r="S26" s="214"/>
    </row>
    <row r="27" spans="1:19" s="149" customFormat="1" ht="15" customHeight="1">
      <c r="A27" s="214"/>
      <c r="B27" s="214"/>
      <c r="C27" s="376" t="s">
        <v>236</v>
      </c>
      <c r="D27" s="371" t="s">
        <v>228</v>
      </c>
      <c r="E27" s="372" t="s">
        <v>229</v>
      </c>
      <c r="F27" s="371" t="s">
        <v>230</v>
      </c>
      <c r="G27" s="372"/>
      <c r="H27" s="371" t="s">
        <v>231</v>
      </c>
      <c r="I27" s="371"/>
      <c r="J27" s="640" t="s">
        <v>237</v>
      </c>
      <c r="K27" s="641"/>
      <c r="L27" s="641"/>
      <c r="M27" s="642"/>
      <c r="N27" s="214"/>
      <c r="O27" s="214"/>
      <c r="P27" s="214"/>
      <c r="Q27" s="214"/>
      <c r="R27" s="214"/>
      <c r="S27" s="214"/>
    </row>
    <row r="28" spans="1:19" s="149" customFormat="1" ht="15" customHeight="1">
      <c r="A28" s="214"/>
      <c r="B28" s="214"/>
      <c r="C28" s="373" t="s">
        <v>80</v>
      </c>
      <c r="D28" s="374" t="s">
        <v>252</v>
      </c>
      <c r="E28" s="375" t="s">
        <v>263</v>
      </c>
      <c r="F28" s="374" t="s">
        <v>230</v>
      </c>
      <c r="G28" s="375"/>
      <c r="H28" s="374"/>
      <c r="I28" s="374"/>
      <c r="J28" s="640" t="s">
        <v>264</v>
      </c>
      <c r="K28" s="641"/>
      <c r="L28" s="641"/>
      <c r="M28" s="642"/>
      <c r="N28" s="214"/>
      <c r="O28" s="214"/>
      <c r="P28" s="214"/>
      <c r="Q28" s="214"/>
      <c r="R28" s="214"/>
      <c r="S28" s="214"/>
    </row>
    <row r="29" spans="1:19" s="149" customFormat="1" ht="15" customHeight="1">
      <c r="A29" s="214"/>
      <c r="B29" s="214"/>
      <c r="C29" s="370" t="s">
        <v>81</v>
      </c>
      <c r="D29" s="371" t="s">
        <v>252</v>
      </c>
      <c r="E29" s="372" t="s">
        <v>263</v>
      </c>
      <c r="F29" s="371" t="s">
        <v>230</v>
      </c>
      <c r="G29" s="372"/>
      <c r="H29" s="371" t="s">
        <v>231</v>
      </c>
      <c r="I29" s="371"/>
      <c r="J29" s="640" t="s">
        <v>265</v>
      </c>
      <c r="K29" s="641"/>
      <c r="L29" s="641"/>
      <c r="M29" s="642"/>
      <c r="N29" s="214"/>
      <c r="O29" s="214"/>
      <c r="P29" s="214"/>
      <c r="Q29" s="214"/>
      <c r="R29" s="214"/>
      <c r="S29" s="214"/>
    </row>
    <row r="30" spans="1:19" s="149" customFormat="1" ht="13.5">
      <c r="A30" s="214"/>
      <c r="B30" s="214"/>
      <c r="C30" s="377" t="s">
        <v>218</v>
      </c>
      <c r="D30" s="374" t="s">
        <v>252</v>
      </c>
      <c r="E30" s="375" t="s">
        <v>257</v>
      </c>
      <c r="F30" s="374" t="s">
        <v>230</v>
      </c>
      <c r="G30" s="375"/>
      <c r="H30" s="374"/>
      <c r="I30" s="374"/>
      <c r="J30" s="640" t="s">
        <v>258</v>
      </c>
      <c r="K30" s="641"/>
      <c r="L30" s="641"/>
      <c r="M30" s="642"/>
      <c r="N30" s="214"/>
      <c r="O30" s="214"/>
      <c r="P30" s="214"/>
      <c r="Q30" s="214"/>
      <c r="R30" s="214"/>
      <c r="S30" s="214"/>
    </row>
    <row r="31" spans="1:19" s="149" customFormat="1" ht="13.5">
      <c r="A31" s="214"/>
      <c r="B31" s="214"/>
      <c r="C31" s="376" t="s">
        <v>219</v>
      </c>
      <c r="D31" s="371" t="s">
        <v>252</v>
      </c>
      <c r="E31" s="372" t="s">
        <v>261</v>
      </c>
      <c r="F31" s="371" t="s">
        <v>230</v>
      </c>
      <c r="G31" s="372"/>
      <c r="H31" s="371"/>
      <c r="I31" s="371"/>
      <c r="J31" s="640" t="s">
        <v>262</v>
      </c>
      <c r="K31" s="641"/>
      <c r="L31" s="641"/>
      <c r="M31" s="642"/>
      <c r="N31" s="214"/>
      <c r="O31" s="214"/>
      <c r="P31" s="214"/>
      <c r="Q31" s="214"/>
      <c r="R31" s="214"/>
      <c r="S31" s="214"/>
    </row>
    <row r="32" spans="1:19" s="149" customFormat="1" ht="13.5">
      <c r="A32" s="214"/>
      <c r="B32" s="214"/>
      <c r="C32" s="373" t="s">
        <v>247</v>
      </c>
      <c r="D32" s="374" t="s">
        <v>228</v>
      </c>
      <c r="E32" s="375" t="s">
        <v>240</v>
      </c>
      <c r="F32" s="378" t="s">
        <v>230</v>
      </c>
      <c r="G32" s="375"/>
      <c r="H32" s="374"/>
      <c r="I32" s="374" t="s">
        <v>231</v>
      </c>
      <c r="J32" s="640" t="s">
        <v>248</v>
      </c>
      <c r="K32" s="641"/>
      <c r="L32" s="641"/>
      <c r="M32" s="642"/>
      <c r="N32" s="214"/>
      <c r="O32" s="214"/>
      <c r="P32" s="214"/>
      <c r="Q32" s="214"/>
      <c r="R32" s="214"/>
      <c r="S32" s="214"/>
    </row>
    <row r="33" spans="1:20" s="149" customFormat="1" ht="13.5">
      <c r="A33" s="214"/>
      <c r="B33" s="214"/>
      <c r="C33" s="370" t="s">
        <v>266</v>
      </c>
      <c r="D33" s="371" t="s">
        <v>252</v>
      </c>
      <c r="E33" s="372" t="s">
        <v>263</v>
      </c>
      <c r="F33" s="371" t="s">
        <v>230</v>
      </c>
      <c r="G33" s="372"/>
      <c r="H33" s="371"/>
      <c r="I33" s="371" t="s">
        <v>231</v>
      </c>
      <c r="J33" s="640" t="s">
        <v>267</v>
      </c>
      <c r="K33" s="641"/>
      <c r="L33" s="641"/>
      <c r="M33" s="642"/>
      <c r="N33" s="214"/>
      <c r="O33" s="214"/>
      <c r="P33" s="214"/>
      <c r="Q33" s="214"/>
      <c r="R33" s="214"/>
      <c r="S33" s="214"/>
    </row>
    <row r="34" spans="1:20" s="149" customFormat="1" ht="15" customHeight="1">
      <c r="A34" s="214"/>
      <c r="B34" s="214"/>
      <c r="C34" s="373" t="s">
        <v>49</v>
      </c>
      <c r="D34" s="374" t="s">
        <v>228</v>
      </c>
      <c r="E34" s="375" t="s">
        <v>240</v>
      </c>
      <c r="F34" s="374" t="s">
        <v>230</v>
      </c>
      <c r="G34" s="375" t="s">
        <v>231</v>
      </c>
      <c r="H34" s="374"/>
      <c r="I34" s="374"/>
      <c r="J34" s="640" t="s">
        <v>241</v>
      </c>
      <c r="K34" s="641"/>
      <c r="L34" s="641"/>
      <c r="M34" s="642"/>
      <c r="N34" s="214"/>
      <c r="O34" s="214"/>
      <c r="P34" s="214"/>
      <c r="Q34" s="214"/>
      <c r="R34" s="214"/>
      <c r="S34" s="214"/>
      <c r="T34" s="214"/>
    </row>
    <row r="35" spans="1:20" s="149" customFormat="1" ht="15" customHeight="1">
      <c r="A35" s="214"/>
      <c r="B35" s="214"/>
      <c r="C35" s="376" t="s">
        <v>242</v>
      </c>
      <c r="D35" s="371" t="s">
        <v>228</v>
      </c>
      <c r="E35" s="372" t="s">
        <v>240</v>
      </c>
      <c r="F35" s="371" t="s">
        <v>230</v>
      </c>
      <c r="G35" s="372" t="s">
        <v>231</v>
      </c>
      <c r="H35" s="371" t="s">
        <v>231</v>
      </c>
      <c r="I35" s="371"/>
      <c r="J35" s="640" t="s">
        <v>243</v>
      </c>
      <c r="K35" s="641"/>
      <c r="L35" s="641"/>
      <c r="M35" s="642"/>
      <c r="N35" s="214"/>
      <c r="O35" s="214"/>
      <c r="P35" s="214"/>
      <c r="Q35" s="214"/>
      <c r="R35" s="214"/>
      <c r="S35" s="214"/>
      <c r="T35" s="214"/>
    </row>
    <row r="36" spans="1:20" s="149" customFormat="1" ht="15" customHeight="1">
      <c r="A36" s="214"/>
      <c r="B36" s="214"/>
      <c r="C36" s="373" t="s">
        <v>227</v>
      </c>
      <c r="D36" s="374" t="s">
        <v>228</v>
      </c>
      <c r="E36" s="375" t="s">
        <v>229</v>
      </c>
      <c r="F36" s="374" t="s">
        <v>230</v>
      </c>
      <c r="G36" s="375" t="s">
        <v>231</v>
      </c>
      <c r="H36" s="374"/>
      <c r="I36" s="374"/>
      <c r="J36" s="640" t="s">
        <v>232</v>
      </c>
      <c r="K36" s="641"/>
      <c r="L36" s="641"/>
      <c r="M36" s="642"/>
      <c r="N36" s="214"/>
      <c r="O36" s="214"/>
      <c r="P36" s="214"/>
      <c r="Q36" s="214"/>
      <c r="R36" s="214"/>
      <c r="S36" s="214"/>
      <c r="T36" s="214"/>
    </row>
    <row r="37" spans="1:20" s="149" customFormat="1" ht="15" customHeight="1">
      <c r="A37" s="214"/>
      <c r="B37" s="214"/>
      <c r="C37" s="370" t="s">
        <v>233</v>
      </c>
      <c r="D37" s="371" t="s">
        <v>228</v>
      </c>
      <c r="E37" s="372" t="s">
        <v>229</v>
      </c>
      <c r="F37" s="371" t="s">
        <v>230</v>
      </c>
      <c r="G37" s="372" t="s">
        <v>231</v>
      </c>
      <c r="H37" s="371" t="s">
        <v>231</v>
      </c>
      <c r="I37" s="371"/>
      <c r="J37" s="640" t="s">
        <v>234</v>
      </c>
      <c r="K37" s="641"/>
      <c r="L37" s="641"/>
      <c r="M37" s="642"/>
      <c r="N37" s="214"/>
      <c r="O37" s="214"/>
      <c r="P37" s="214"/>
      <c r="Q37" s="214"/>
      <c r="R37" s="214"/>
      <c r="S37" s="214"/>
      <c r="T37" s="214"/>
    </row>
    <row r="38" spans="1:20" s="149" customFormat="1" ht="15" customHeight="1">
      <c r="A38" s="214"/>
      <c r="B38" s="214"/>
      <c r="C38" s="377" t="s">
        <v>251</v>
      </c>
      <c r="D38" s="374" t="s">
        <v>252</v>
      </c>
      <c r="E38" s="375" t="s">
        <v>253</v>
      </c>
      <c r="F38" s="374" t="s">
        <v>230</v>
      </c>
      <c r="G38" s="375" t="s">
        <v>231</v>
      </c>
      <c r="H38" s="374"/>
      <c r="I38" s="374"/>
      <c r="J38" s="640" t="s">
        <v>254</v>
      </c>
      <c r="K38" s="641"/>
      <c r="L38" s="641"/>
      <c r="M38" s="642"/>
      <c r="N38" s="214"/>
      <c r="O38" s="214"/>
      <c r="P38" s="214"/>
      <c r="Q38" s="214"/>
      <c r="R38" s="214"/>
      <c r="S38" s="214"/>
      <c r="T38" s="214"/>
    </row>
    <row r="39" spans="1:20" s="149" customFormat="1" ht="15" customHeight="1">
      <c r="A39" s="214"/>
      <c r="B39" s="214"/>
      <c r="C39" s="373" t="s">
        <v>255</v>
      </c>
      <c r="D39" s="374" t="s">
        <v>252</v>
      </c>
      <c r="E39" s="375" t="s">
        <v>253</v>
      </c>
      <c r="F39" s="374" t="s">
        <v>230</v>
      </c>
      <c r="G39" s="375" t="s">
        <v>231</v>
      </c>
      <c r="H39" s="374" t="s">
        <v>231</v>
      </c>
      <c r="I39" s="374"/>
      <c r="J39" s="640" t="s">
        <v>256</v>
      </c>
      <c r="K39" s="641"/>
      <c r="L39" s="641"/>
      <c r="M39" s="642"/>
      <c r="N39" s="214"/>
      <c r="O39" s="214"/>
      <c r="P39" s="214"/>
      <c r="Q39" s="214"/>
      <c r="R39" s="214"/>
      <c r="S39" s="214"/>
      <c r="T39" s="214"/>
    </row>
    <row r="40" spans="1:20" s="149" customFormat="1" ht="15" customHeight="1" thickBot="1">
      <c r="A40" s="214"/>
      <c r="B40" s="214"/>
      <c r="C40" s="379" t="s">
        <v>82</v>
      </c>
      <c r="D40" s="380" t="s">
        <v>252</v>
      </c>
      <c r="E40" s="381" t="s">
        <v>259</v>
      </c>
      <c r="F40" s="380" t="s">
        <v>230</v>
      </c>
      <c r="G40" s="381"/>
      <c r="H40" s="380"/>
      <c r="I40" s="380"/>
      <c r="J40" s="646" t="s">
        <v>260</v>
      </c>
      <c r="K40" s="647"/>
      <c r="L40" s="647"/>
      <c r="M40" s="648"/>
      <c r="N40" s="214"/>
      <c r="O40" s="214"/>
      <c r="P40" s="214"/>
      <c r="Q40" s="214"/>
      <c r="R40" s="214"/>
      <c r="S40" s="214"/>
      <c r="T40" s="214"/>
    </row>
    <row r="41" spans="1:20" s="149" customFormat="1" ht="15" customHeight="1">
      <c r="A41" s="214"/>
      <c r="B41" s="214"/>
      <c r="C41" s="214"/>
      <c r="D41" s="214"/>
      <c r="E41" s="214"/>
      <c r="F41" s="214"/>
      <c r="G41" s="214"/>
      <c r="H41" s="214"/>
      <c r="I41" s="214"/>
      <c r="J41" s="214"/>
      <c r="K41" s="214"/>
      <c r="L41" s="214"/>
      <c r="M41" s="214"/>
      <c r="N41" s="214"/>
      <c r="O41" s="214"/>
      <c r="P41" s="214"/>
      <c r="Q41" s="214"/>
      <c r="R41" s="214"/>
      <c r="S41" s="214"/>
      <c r="T41" s="214"/>
    </row>
    <row r="42" spans="1:20" s="149" customFormat="1" ht="15" customHeight="1">
      <c r="A42" s="214"/>
      <c r="B42" s="214" t="s">
        <v>152</v>
      </c>
      <c r="C42" s="214"/>
      <c r="D42" s="214"/>
      <c r="E42" s="214"/>
      <c r="F42" s="214"/>
      <c r="G42" s="214"/>
      <c r="H42" s="214"/>
      <c r="I42" s="214"/>
      <c r="J42" s="214"/>
      <c r="K42" s="214"/>
      <c r="L42" s="214"/>
      <c r="M42" s="214"/>
      <c r="N42" s="214"/>
      <c r="O42" s="214"/>
      <c r="P42" s="214"/>
      <c r="Q42" s="214"/>
      <c r="R42" s="214"/>
      <c r="S42" s="214"/>
      <c r="T42" s="214"/>
    </row>
    <row r="43" spans="1:20" s="149" customFormat="1" ht="15" customHeight="1">
      <c r="A43" s="214"/>
      <c r="B43" s="214"/>
      <c r="C43" s="636" t="s">
        <v>10</v>
      </c>
      <c r="D43" s="636"/>
      <c r="E43" s="633" t="s">
        <v>8</v>
      </c>
      <c r="F43" s="633"/>
      <c r="G43" s="633"/>
      <c r="H43" s="633"/>
      <c r="I43" s="633"/>
      <c r="J43" s="214"/>
      <c r="K43" s="214"/>
      <c r="L43" s="214"/>
      <c r="M43" s="214"/>
      <c r="N43" s="214"/>
      <c r="O43" s="214"/>
      <c r="P43" s="214"/>
      <c r="Q43" s="214"/>
      <c r="R43" s="214"/>
      <c r="S43" s="214"/>
      <c r="T43" s="214"/>
    </row>
    <row r="44" spans="1:20" s="149" customFormat="1" ht="15" customHeight="1">
      <c r="A44" s="214"/>
      <c r="B44" s="214"/>
      <c r="C44" s="214"/>
      <c r="D44" s="214"/>
      <c r="E44" s="214"/>
      <c r="F44" s="214"/>
      <c r="G44" s="214"/>
      <c r="H44" s="214"/>
      <c r="I44" s="214"/>
      <c r="J44" s="214"/>
      <c r="K44" s="214"/>
      <c r="L44" s="214"/>
      <c r="M44" s="214"/>
      <c r="N44" s="214"/>
      <c r="O44" s="214"/>
      <c r="P44" s="214"/>
      <c r="Q44" s="214"/>
      <c r="R44" s="214"/>
      <c r="S44" s="214"/>
      <c r="T44" s="214"/>
    </row>
    <row r="45" spans="1:20" s="149" customFormat="1" ht="15" customHeight="1">
      <c r="A45" s="214"/>
      <c r="B45" s="214" t="s">
        <v>153</v>
      </c>
      <c r="C45" s="214"/>
      <c r="D45" s="214"/>
      <c r="E45" s="214"/>
      <c r="F45" s="214"/>
      <c r="G45" s="214"/>
      <c r="H45" s="214"/>
      <c r="I45" s="214"/>
      <c r="J45" s="214"/>
      <c r="K45" s="214"/>
      <c r="L45" s="214"/>
      <c r="M45" s="214"/>
      <c r="N45" s="214"/>
      <c r="O45" s="214"/>
      <c r="P45" s="214"/>
      <c r="Q45" s="214"/>
      <c r="R45" s="214"/>
      <c r="S45" s="214"/>
      <c r="T45" s="214"/>
    </row>
    <row r="46" spans="1:20" s="149" customFormat="1" ht="15" customHeight="1" thickBot="1">
      <c r="A46" s="214"/>
      <c r="B46" s="214"/>
      <c r="C46" s="218"/>
      <c r="D46" s="218"/>
      <c r="E46" s="214"/>
      <c r="F46" s="214"/>
      <c r="G46" s="214"/>
      <c r="H46" s="214"/>
      <c r="I46" s="214"/>
      <c r="J46" s="214"/>
      <c r="K46" s="214"/>
      <c r="L46" s="214"/>
      <c r="M46" s="214"/>
      <c r="N46" s="214"/>
      <c r="O46" s="214"/>
      <c r="P46" s="214"/>
      <c r="Q46" s="214"/>
      <c r="R46" s="214"/>
      <c r="S46" s="214"/>
      <c r="T46" s="214"/>
    </row>
    <row r="47" spans="1:20" s="149" customFormat="1" ht="15" customHeight="1">
      <c r="A47" s="214"/>
      <c r="B47" s="214"/>
      <c r="C47" s="219" t="s">
        <v>43</v>
      </c>
      <c r="D47" s="220" t="s">
        <v>9</v>
      </c>
      <c r="E47" s="214"/>
      <c r="F47" s="214"/>
      <c r="G47" s="214"/>
      <c r="H47" s="214"/>
      <c r="I47" s="214"/>
      <c r="J47" s="214"/>
      <c r="K47" s="214"/>
      <c r="L47" s="214"/>
      <c r="M47" s="214"/>
      <c r="N47" s="214"/>
      <c r="O47" s="214"/>
      <c r="P47" s="214"/>
      <c r="Q47" s="214"/>
      <c r="R47" s="214"/>
      <c r="S47" s="214"/>
      <c r="T47" s="214"/>
    </row>
    <row r="48" spans="1:20" s="149" customFormat="1" ht="15" customHeight="1">
      <c r="A48" s="214"/>
      <c r="B48" s="214"/>
      <c r="C48" s="219" t="s">
        <v>434</v>
      </c>
      <c r="D48" s="221" t="s">
        <v>9</v>
      </c>
      <c r="E48" s="214"/>
      <c r="F48" s="214"/>
      <c r="G48" s="214"/>
      <c r="H48" s="214"/>
      <c r="I48" s="214"/>
      <c r="J48" s="214"/>
      <c r="K48" s="214"/>
      <c r="L48" s="214"/>
      <c r="M48" s="214"/>
      <c r="N48" s="214"/>
      <c r="O48" s="214"/>
      <c r="P48" s="214"/>
      <c r="Q48" s="214"/>
      <c r="R48" s="214"/>
      <c r="S48" s="214"/>
      <c r="T48" s="214"/>
    </row>
    <row r="49" spans="1:20" s="149" customFormat="1" ht="15" customHeight="1">
      <c r="A49" s="214"/>
      <c r="B49" s="214"/>
      <c r="C49" s="219" t="s">
        <v>435</v>
      </c>
      <c r="D49" s="222" t="s">
        <v>9</v>
      </c>
      <c r="E49" s="214"/>
      <c r="F49" s="214"/>
      <c r="G49" s="214"/>
      <c r="H49" s="214"/>
      <c r="I49" s="214"/>
      <c r="J49" s="214"/>
      <c r="K49" s="214"/>
      <c r="L49" s="214"/>
      <c r="M49" s="214"/>
      <c r="N49" s="214"/>
      <c r="O49" s="214"/>
      <c r="P49" s="214"/>
      <c r="Q49" s="214"/>
      <c r="R49" s="214"/>
      <c r="S49" s="214"/>
      <c r="T49" s="214"/>
    </row>
    <row r="50" spans="1:20" s="149" customFormat="1" ht="15" customHeight="1">
      <c r="A50" s="214"/>
      <c r="B50" s="214"/>
      <c r="C50" s="223" t="s">
        <v>191</v>
      </c>
      <c r="D50" s="224" t="s">
        <v>9</v>
      </c>
      <c r="E50" s="214"/>
      <c r="F50" s="214"/>
      <c r="G50" s="214"/>
      <c r="H50" s="214"/>
      <c r="I50" s="214"/>
      <c r="J50" s="214"/>
      <c r="K50" s="214"/>
      <c r="L50" s="214"/>
      <c r="M50" s="214"/>
      <c r="N50" s="214"/>
      <c r="O50" s="214"/>
      <c r="P50" s="214"/>
      <c r="Q50" s="214"/>
      <c r="R50" s="214"/>
      <c r="S50" s="214"/>
      <c r="T50" s="214"/>
    </row>
    <row r="51" spans="1:20" s="149" customFormat="1" ht="15" customHeight="1" thickBot="1">
      <c r="A51" s="214"/>
      <c r="B51" s="214"/>
      <c r="C51" s="223" t="s">
        <v>192</v>
      </c>
      <c r="D51" s="225" t="s">
        <v>9</v>
      </c>
      <c r="E51" s="214"/>
      <c r="F51" s="214"/>
      <c r="G51" s="214"/>
      <c r="H51" s="214"/>
      <c r="I51" s="214"/>
      <c r="J51" s="214"/>
      <c r="K51" s="214"/>
      <c r="L51" s="214"/>
      <c r="M51" s="214"/>
      <c r="N51" s="214"/>
      <c r="O51" s="214"/>
      <c r="P51" s="214"/>
      <c r="Q51" s="214"/>
      <c r="R51" s="214"/>
      <c r="S51" s="214"/>
    </row>
    <row r="52" spans="1:20" s="149" customFormat="1" ht="15" customHeight="1">
      <c r="A52" s="214"/>
      <c r="B52" s="214"/>
      <c r="C52" s="214"/>
      <c r="D52" s="214"/>
      <c r="E52" s="214"/>
      <c r="F52" s="214"/>
      <c r="G52" s="214"/>
      <c r="H52" s="214"/>
      <c r="I52" s="214"/>
      <c r="J52" s="214"/>
      <c r="K52" s="214"/>
      <c r="L52" s="214"/>
      <c r="M52" s="214"/>
      <c r="N52" s="214"/>
      <c r="O52" s="214"/>
      <c r="P52" s="214"/>
      <c r="Q52" s="214"/>
      <c r="R52" s="214"/>
      <c r="S52" s="214"/>
    </row>
    <row r="53" spans="1:20" s="149" customFormat="1" ht="15" customHeight="1">
      <c r="A53" s="214"/>
      <c r="B53" s="214" t="s">
        <v>442</v>
      </c>
      <c r="C53" s="214"/>
      <c r="D53" s="214"/>
      <c r="E53" s="214"/>
      <c r="F53" s="214"/>
      <c r="G53" s="214"/>
      <c r="H53" s="214"/>
      <c r="I53" s="214"/>
      <c r="J53" s="214"/>
      <c r="K53" s="214"/>
      <c r="L53" s="214"/>
      <c r="M53" s="214"/>
      <c r="N53" s="214"/>
      <c r="O53" s="214"/>
      <c r="P53" s="214"/>
      <c r="Q53" s="214"/>
      <c r="R53" s="214"/>
      <c r="S53" s="214"/>
    </row>
    <row r="54" spans="1:20" s="149" customFormat="1" ht="15" customHeight="1">
      <c r="A54" s="214"/>
      <c r="B54" s="214"/>
      <c r="C54" s="214"/>
      <c r="D54" s="226" t="s">
        <v>443</v>
      </c>
      <c r="E54" s="231" t="s">
        <v>444</v>
      </c>
      <c r="F54" s="214"/>
      <c r="G54" s="214"/>
      <c r="H54" s="214"/>
      <c r="I54" s="214"/>
      <c r="J54" s="214"/>
      <c r="K54" s="214"/>
      <c r="L54" s="214"/>
      <c r="M54" s="214"/>
      <c r="N54" s="214"/>
      <c r="O54" s="214"/>
      <c r="P54" s="214"/>
      <c r="Q54" s="214"/>
      <c r="R54" s="214"/>
      <c r="S54" s="214"/>
    </row>
    <row r="55" spans="1:20" s="149" customFormat="1" ht="15" customHeight="1">
      <c r="A55" s="214"/>
      <c r="B55" s="214"/>
      <c r="C55" s="214"/>
      <c r="D55" s="214"/>
      <c r="E55" s="214"/>
      <c r="F55" s="214"/>
      <c r="G55" s="214"/>
      <c r="H55" s="214"/>
      <c r="I55" s="214"/>
      <c r="J55" s="214"/>
      <c r="K55" s="214"/>
      <c r="L55" s="214"/>
      <c r="M55" s="214"/>
      <c r="N55" s="214"/>
      <c r="O55" s="214"/>
      <c r="P55" s="214"/>
      <c r="Q55" s="214"/>
      <c r="R55" s="214"/>
      <c r="S55" s="214"/>
    </row>
    <row r="56" spans="1:20" s="149" customFormat="1" ht="15" customHeight="1"/>
    <row r="57" spans="1:20" s="149" customFormat="1" ht="15" customHeight="1"/>
    <row r="58" spans="1:20" ht="15" customHeight="1"/>
    <row r="59" spans="1:20" ht="15" customHeight="1"/>
    <row r="60" spans="1:20" ht="15" customHeight="1"/>
    <row r="61" spans="1:20" ht="15" customHeight="1"/>
    <row r="62" spans="1:20" ht="15" customHeight="1"/>
    <row r="63" spans="1:20" ht="15" customHeight="1"/>
    <row r="64" spans="1:20" ht="15" customHeight="1"/>
  </sheetData>
  <sheetProtection algorithmName="SHA-512" hashValue="eMQoiblBEsqR6d8fhoOjxg13sN0Cy3A3570yKije138aOi5dfrgQzoR/O2ItEDFs9ehoX5D0k1UoQOKVueSy6g==" saltValue="Y+tNrtFaXd9EQKgjPe0v/w==" spinCount="100000" sheet="1" objects="1" scenarios="1"/>
  <mergeCells count="29">
    <mergeCell ref="J14:M14"/>
    <mergeCell ref="J29:M29"/>
    <mergeCell ref="J30:M30"/>
    <mergeCell ref="J31:M31"/>
    <mergeCell ref="J32:M32"/>
    <mergeCell ref="J33:M33"/>
    <mergeCell ref="J39:M39"/>
    <mergeCell ref="J40:M40"/>
    <mergeCell ref="J34:M34"/>
    <mergeCell ref="J35:M35"/>
    <mergeCell ref="J36:M36"/>
    <mergeCell ref="J37:M37"/>
    <mergeCell ref="J38:M38"/>
    <mergeCell ref="J13:M13"/>
    <mergeCell ref="B7:I7"/>
    <mergeCell ref="E43:I43"/>
    <mergeCell ref="A1:S3"/>
    <mergeCell ref="C12:D12"/>
    <mergeCell ref="A4:AE4"/>
    <mergeCell ref="C43:D43"/>
    <mergeCell ref="J20:M20"/>
    <mergeCell ref="J22:M22"/>
    <mergeCell ref="J23:M23"/>
    <mergeCell ref="J24:M24"/>
    <mergeCell ref="J25:M25"/>
    <mergeCell ref="J26:M26"/>
    <mergeCell ref="J27:M27"/>
    <mergeCell ref="J28:M28"/>
    <mergeCell ref="J21:M21"/>
  </mergeCells>
  <phoneticPr fontId="21"/>
  <hyperlinks>
    <hyperlink ref="A5:R5" r:id="rId1" display="For any futher assistance on this tool, please post your question in the following forum Room - E2E Precision Data Converters Forum" xr:uid="{00000000-0004-0000-0100-000000000000}"/>
    <hyperlink ref="R5" location="'Table of Contents'!B17" display="Table of Contents" xr:uid="{00000000-0004-0000-0100-000001000000}"/>
    <hyperlink ref="E43" location="'Table of Contents'!A1" display="Table of Contents" xr:uid="{00000000-0004-0000-0100-000002000000}"/>
    <hyperlink ref="E43:I43" location="'Table of Contents'!B17" display="Table of Contents" xr:uid="{00000000-0004-0000-0100-000006000000}"/>
    <hyperlink ref="J23" r:id="rId2" xr:uid="{2B8BC6B6-6055-49A3-A430-9649A565B933}"/>
    <hyperlink ref="J22" r:id="rId3" xr:uid="{F179E4ED-E4E8-4B28-945E-3E161CEDE392}"/>
    <hyperlink ref="J25" r:id="rId4" xr:uid="{E3831485-4605-4C62-9803-42142A6DC97A}"/>
    <hyperlink ref="J26" r:id="rId5" xr:uid="{7A2F767A-CC07-4987-BEC4-04B99E23331D}"/>
    <hyperlink ref="J27" r:id="rId6" xr:uid="{56D89243-4E44-431E-8002-E06FA52D345E}"/>
    <hyperlink ref="J28" r:id="rId7" xr:uid="{5D1A1E98-9E6F-4872-8487-BA05A1804870}"/>
    <hyperlink ref="J29" r:id="rId8" xr:uid="{9E6AE82D-079F-41F9-A6B0-0A2C59D8B71C}"/>
    <hyperlink ref="J34" r:id="rId9" xr:uid="{B085DE2F-BF07-4245-B761-D5C5AFEDE34B}"/>
    <hyperlink ref="J35" r:id="rId10" xr:uid="{16C53D69-0DD0-4E7B-B792-64C6315B434A}"/>
    <hyperlink ref="J38" r:id="rId11" xr:uid="{738B20DA-2F1C-4F66-B85C-84E60809BF3A}"/>
    <hyperlink ref="J39" r:id="rId12" xr:uid="{918FC61D-F5D7-4ED6-8390-1AFACA716CA1}"/>
    <hyperlink ref="J36" r:id="rId13" xr:uid="{04C6C165-0960-4AEB-B593-37A064E5B81B}"/>
    <hyperlink ref="J32" r:id="rId14" xr:uid="{756219DA-8D8E-4B1F-B2B0-623D2205F5A2}"/>
    <hyperlink ref="J33" r:id="rId15" xr:uid="{CFD5460A-C72B-40A4-9252-616D3D9CAD5A}"/>
    <hyperlink ref="J37" r:id="rId16" xr:uid="{11AF003E-CBBA-467F-9FAE-0326C7D82B57}"/>
    <hyperlink ref="J20" r:id="rId17" xr:uid="{1FD97176-6DBB-4B8D-8B44-C0A8292AD9BD}"/>
    <hyperlink ref="J30" r:id="rId18" xr:uid="{ED1FD119-88F7-4DAA-9DF7-203B0DED71C2}"/>
    <hyperlink ref="J31" r:id="rId19" xr:uid="{1B25B45F-6ECD-4F9D-8D98-8B8F4EAAC502}"/>
    <hyperlink ref="J40" r:id="rId20" xr:uid="{3061A22B-93C5-4366-A3E3-81B86AA649C3}"/>
    <hyperlink ref="J21" r:id="rId21" xr:uid="{497BBBC2-2DF2-41B6-99D9-407234826580}"/>
    <hyperlink ref="E54" location="Directions!A1" display="Directions" xr:uid="{64E42F58-1263-43F6-B093-71B6F9785C0F}"/>
    <hyperlink ref="I9" r:id="rId22" xr:uid="{DAE2D16B-1F33-464B-A697-C2D2A4DEE057}"/>
    <hyperlink ref="J14" r:id="rId23" xr:uid="{9D7E03E1-708E-4A24-9EA5-FF547FFBE264}"/>
    <hyperlink ref="J15" r:id="rId24" xr:uid="{22CA0468-8AE3-4324-B34D-9238DF39D58A}"/>
    <hyperlink ref="J16" r:id="rId25" xr:uid="{F371D6E2-D415-4839-8650-A46DA684AB42}"/>
    <hyperlink ref="J17" r:id="rId26" xr:uid="{313B128D-083B-40D9-B55E-C6A1FD528364}"/>
    <hyperlink ref="J18" r:id="rId27" xr:uid="{B08DFB97-B46E-476A-AD62-852EEE2D1033}"/>
    <hyperlink ref="J19" r:id="rId28" xr:uid="{2541AF76-A5AA-4B8D-A82D-36049F163A33}"/>
  </hyperlinks>
  <pageMargins left="0.7" right="0.7" top="0.75" bottom="0.75" header="0.3" footer="0.3"/>
  <pageSetup orientation="portrait" r:id="rId29"/>
  <drawing r:id="rId3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0468-54E3-4BDF-BD1A-338DC4A18109}">
  <dimension ref="A1:AS73"/>
  <sheetViews>
    <sheetView showGridLines="0" showRowColHeaders="0" zoomScaleNormal="100" workbookViewId="0">
      <selection activeCell="I13" sqref="I13"/>
    </sheetView>
  </sheetViews>
  <sheetFormatPr defaultColWidth="8.73046875" defaultRowHeight="14.25"/>
  <cols>
    <col min="1" max="1" width="8.73046875" style="137"/>
    <col min="2" max="2" width="8.73046875" style="136"/>
    <col min="3" max="3" width="10.73046875" style="136" customWidth="1"/>
    <col min="4" max="4" width="13.265625" style="136" customWidth="1"/>
    <col min="5" max="5" width="10.73046875" style="136" customWidth="1"/>
    <col min="6" max="7" width="8.73046875" style="136"/>
    <col min="8" max="8" width="23.265625" style="136" customWidth="1"/>
    <col min="9" max="9" width="8.73046875" style="136"/>
    <col min="10" max="10" width="8.73046875" style="137"/>
    <col min="11" max="11" width="8.73046875" style="136"/>
    <col min="12" max="12" width="14.3984375" style="136" customWidth="1"/>
    <col min="13" max="15" width="8.73046875" style="136"/>
    <col min="16" max="16" width="14.3984375" style="136" customWidth="1"/>
    <col min="17" max="17" width="20.59765625" style="136" customWidth="1"/>
    <col min="18" max="16384" width="8.73046875" style="136"/>
  </cols>
  <sheetData>
    <row r="1" spans="1:31" ht="15" customHeight="1">
      <c r="A1" s="623"/>
      <c r="B1" s="623"/>
      <c r="C1" s="623"/>
      <c r="D1" s="623"/>
      <c r="E1" s="623"/>
      <c r="F1" s="623"/>
      <c r="G1" s="623"/>
      <c r="H1" s="623"/>
      <c r="I1" s="623"/>
      <c r="J1" s="623"/>
      <c r="K1" s="623"/>
      <c r="L1" s="623"/>
      <c r="M1" s="623"/>
      <c r="N1" s="623"/>
      <c r="O1" s="623"/>
      <c r="P1" s="623"/>
      <c r="Q1" s="623"/>
      <c r="R1" s="623"/>
      <c r="S1" s="623"/>
      <c r="T1" s="623"/>
      <c r="U1" s="623"/>
    </row>
    <row r="2" spans="1:31" ht="15" customHeight="1">
      <c r="A2" s="623"/>
      <c r="B2" s="623"/>
      <c r="C2" s="623"/>
      <c r="D2" s="623"/>
      <c r="E2" s="623"/>
      <c r="F2" s="623"/>
      <c r="G2" s="623"/>
      <c r="H2" s="623"/>
      <c r="I2" s="623"/>
      <c r="J2" s="623"/>
      <c r="K2" s="623"/>
      <c r="L2" s="623"/>
      <c r="M2" s="623"/>
      <c r="N2" s="623"/>
      <c r="O2" s="623"/>
      <c r="P2" s="623"/>
      <c r="Q2" s="623"/>
      <c r="R2" s="623"/>
      <c r="S2" s="623"/>
      <c r="T2" s="623"/>
      <c r="U2" s="623"/>
    </row>
    <row r="3" spans="1:31" ht="15" customHeight="1">
      <c r="A3" s="623"/>
      <c r="B3" s="623"/>
      <c r="C3" s="623"/>
      <c r="D3" s="623"/>
      <c r="E3" s="623"/>
      <c r="F3" s="623"/>
      <c r="G3" s="623"/>
      <c r="H3" s="623"/>
      <c r="I3" s="623"/>
      <c r="J3" s="623"/>
      <c r="K3" s="623"/>
      <c r="L3" s="623"/>
      <c r="M3" s="623"/>
      <c r="N3" s="623"/>
      <c r="O3" s="623"/>
      <c r="P3" s="623"/>
      <c r="Q3" s="623"/>
      <c r="R3" s="623"/>
      <c r="S3" s="623"/>
      <c r="T3" s="623"/>
      <c r="U3" s="623"/>
    </row>
    <row r="4" spans="1:31" ht="15" customHeight="1">
      <c r="A4" s="626"/>
      <c r="B4" s="626"/>
      <c r="C4" s="626"/>
      <c r="D4" s="626"/>
      <c r="E4" s="626"/>
      <c r="F4" s="626"/>
      <c r="G4" s="626"/>
      <c r="H4" s="626"/>
      <c r="I4" s="626"/>
      <c r="J4" s="626"/>
      <c r="K4" s="626"/>
      <c r="L4" s="626"/>
      <c r="M4" s="626"/>
      <c r="N4" s="626"/>
      <c r="O4" s="626"/>
      <c r="P4" s="626"/>
      <c r="Q4" s="626"/>
      <c r="R4" s="626"/>
      <c r="S4" s="626"/>
      <c r="T4" s="626"/>
      <c r="U4" s="626"/>
      <c r="V4" s="626"/>
      <c r="W4" s="626"/>
      <c r="X4" s="626"/>
      <c r="Y4" s="626"/>
      <c r="Z4" s="626"/>
      <c r="AA4" s="626"/>
      <c r="AB4" s="626"/>
      <c r="AC4" s="626"/>
      <c r="AD4" s="626"/>
      <c r="AE4" s="626"/>
    </row>
    <row r="5" spans="1:31" ht="15" customHeight="1"/>
    <row r="6" spans="1:31" ht="15" customHeight="1">
      <c r="B6" s="138" t="s">
        <v>445</v>
      </c>
      <c r="C6" s="139"/>
      <c r="D6" s="139"/>
      <c r="E6" s="139"/>
      <c r="K6" s="690" t="s">
        <v>8</v>
      </c>
      <c r="L6" s="690"/>
    </row>
    <row r="7" spans="1:31" ht="15" customHeight="1">
      <c r="B7" s="140"/>
      <c r="C7" s="140"/>
      <c r="D7" s="140"/>
      <c r="F7" s="140"/>
      <c r="G7" s="140"/>
      <c r="H7" s="140"/>
      <c r="I7" s="140"/>
      <c r="J7" s="141"/>
      <c r="K7" s="140"/>
      <c r="L7" s="140"/>
      <c r="M7" s="140"/>
      <c r="N7" s="140"/>
      <c r="O7" s="140"/>
      <c r="P7" s="140"/>
      <c r="Q7" s="140"/>
    </row>
    <row r="8" spans="1:31" ht="15" customHeight="1">
      <c r="A8" s="137" t="s">
        <v>357</v>
      </c>
      <c r="B8" s="142" t="s">
        <v>18</v>
      </c>
      <c r="J8" s="137" t="s">
        <v>403</v>
      </c>
      <c r="K8" s="142" t="s">
        <v>0</v>
      </c>
    </row>
    <row r="9" spans="1:31" ht="15" customHeight="1">
      <c r="B9" s="143" t="s">
        <v>53</v>
      </c>
      <c r="C9" s="144"/>
      <c r="D9" s="145"/>
      <c r="E9" s="146" t="s">
        <v>358</v>
      </c>
      <c r="F9" s="147"/>
      <c r="G9" s="147"/>
      <c r="H9" s="148"/>
      <c r="I9" s="149"/>
      <c r="J9" s="141"/>
      <c r="K9" s="652" t="s">
        <v>184</v>
      </c>
      <c r="L9" s="654"/>
      <c r="M9" s="659" t="s">
        <v>359</v>
      </c>
      <c r="N9" s="659"/>
      <c r="O9" s="659"/>
      <c r="P9" s="660"/>
      <c r="Q9" s="676" t="s">
        <v>360</v>
      </c>
      <c r="R9" s="150"/>
    </row>
    <row r="10" spans="1:31" ht="15" customHeight="1">
      <c r="B10" s="151" t="s">
        <v>54</v>
      </c>
      <c r="C10" s="152"/>
      <c r="D10" s="153"/>
      <c r="E10" s="154" t="s">
        <v>361</v>
      </c>
      <c r="F10" s="149"/>
      <c r="G10" s="149"/>
      <c r="H10" s="155"/>
      <c r="I10" s="149"/>
      <c r="J10" s="141"/>
      <c r="K10" s="655"/>
      <c r="L10" s="657"/>
      <c r="M10" s="662"/>
      <c r="N10" s="662"/>
      <c r="O10" s="662"/>
      <c r="P10" s="663"/>
      <c r="Q10" s="677"/>
      <c r="R10" s="150"/>
    </row>
    <row r="11" spans="1:31" ht="15" customHeight="1">
      <c r="B11" s="156" t="s">
        <v>87</v>
      </c>
      <c r="C11" s="144"/>
      <c r="D11" s="145"/>
      <c r="E11" s="146" t="s">
        <v>415</v>
      </c>
      <c r="F11" s="147"/>
      <c r="G11" s="147"/>
      <c r="H11" s="148"/>
      <c r="I11" s="149"/>
      <c r="J11" s="141"/>
      <c r="K11" s="157" t="s">
        <v>185</v>
      </c>
      <c r="L11" s="158"/>
      <c r="M11" s="157" t="s">
        <v>362</v>
      </c>
      <c r="N11" s="159"/>
      <c r="O11" s="160"/>
      <c r="P11" s="161"/>
      <c r="Q11" s="677"/>
      <c r="R11" s="150"/>
    </row>
    <row r="12" spans="1:31" ht="15" customHeight="1">
      <c r="B12" s="162" t="s">
        <v>416</v>
      </c>
      <c r="C12" s="163"/>
      <c r="D12" s="164"/>
      <c r="E12" s="146" t="s">
        <v>417</v>
      </c>
      <c r="F12" s="147"/>
      <c r="G12" s="147"/>
      <c r="H12" s="148"/>
      <c r="I12" s="149"/>
      <c r="J12" s="141"/>
      <c r="K12" s="197" t="s">
        <v>186</v>
      </c>
      <c r="L12" s="199"/>
      <c r="M12" s="658" t="s">
        <v>363</v>
      </c>
      <c r="N12" s="659"/>
      <c r="O12" s="659"/>
      <c r="P12" s="660"/>
      <c r="Q12" s="677"/>
      <c r="R12" s="150"/>
    </row>
    <row r="13" spans="1:31" ht="15" customHeight="1">
      <c r="B13" s="165" t="s">
        <v>115</v>
      </c>
      <c r="C13" s="152"/>
      <c r="D13" s="153"/>
      <c r="E13" s="154" t="s">
        <v>418</v>
      </c>
      <c r="F13" s="149"/>
      <c r="G13" s="149"/>
      <c r="H13" s="155"/>
      <c r="I13" s="149"/>
      <c r="J13" s="141"/>
      <c r="K13" s="157" t="s">
        <v>187</v>
      </c>
      <c r="L13" s="158"/>
      <c r="M13" s="157" t="s">
        <v>368</v>
      </c>
      <c r="N13" s="159"/>
      <c r="O13" s="160"/>
      <c r="P13" s="161"/>
      <c r="Q13" s="677"/>
      <c r="R13" s="150"/>
    </row>
    <row r="14" spans="1:31" ht="15" customHeight="1">
      <c r="B14" s="166" t="s">
        <v>195</v>
      </c>
      <c r="C14" s="144"/>
      <c r="D14" s="145"/>
      <c r="E14" s="146" t="s">
        <v>369</v>
      </c>
      <c r="F14" s="147"/>
      <c r="H14" s="148"/>
      <c r="I14" s="149"/>
      <c r="J14" s="141"/>
      <c r="K14" s="652" t="s">
        <v>1</v>
      </c>
      <c r="L14" s="654"/>
      <c r="M14" s="658" t="s">
        <v>370</v>
      </c>
      <c r="N14" s="659"/>
      <c r="O14" s="659"/>
      <c r="P14" s="660"/>
      <c r="Q14" s="677"/>
      <c r="R14" s="150"/>
    </row>
    <row r="15" spans="1:31" ht="15" customHeight="1">
      <c r="B15" s="167" t="s">
        <v>196</v>
      </c>
      <c r="C15" s="168"/>
      <c r="D15" s="169"/>
      <c r="E15" s="170" t="s">
        <v>371</v>
      </c>
      <c r="F15" s="171"/>
      <c r="H15" s="155"/>
      <c r="I15" s="149"/>
      <c r="J15" s="141"/>
      <c r="K15" s="688"/>
      <c r="L15" s="689"/>
      <c r="M15" s="664"/>
      <c r="N15" s="665"/>
      <c r="O15" s="665"/>
      <c r="P15" s="666"/>
      <c r="Q15" s="677"/>
      <c r="R15" s="150"/>
    </row>
    <row r="16" spans="1:31" ht="15" customHeight="1">
      <c r="B16" s="166" t="s">
        <v>364</v>
      </c>
      <c r="C16" s="144"/>
      <c r="D16" s="145"/>
      <c r="E16" s="146" t="s">
        <v>365</v>
      </c>
      <c r="F16" s="147"/>
      <c r="G16" s="147"/>
      <c r="H16" s="148"/>
      <c r="I16" s="149"/>
      <c r="J16" s="141"/>
      <c r="K16" s="655"/>
      <c r="L16" s="657"/>
      <c r="M16" s="661"/>
      <c r="N16" s="662"/>
      <c r="O16" s="662"/>
      <c r="P16" s="663"/>
      <c r="Q16" s="677"/>
      <c r="R16" s="150"/>
    </row>
    <row r="17" spans="1:21" ht="15" customHeight="1">
      <c r="B17" s="172" t="s">
        <v>366</v>
      </c>
      <c r="C17" s="163"/>
      <c r="D17" s="164"/>
      <c r="E17" s="146" t="s">
        <v>367</v>
      </c>
      <c r="F17" s="147"/>
      <c r="G17" s="173"/>
      <c r="H17" s="174"/>
      <c r="K17" s="157" t="s">
        <v>2</v>
      </c>
      <c r="L17" s="158"/>
      <c r="M17" s="157" t="s">
        <v>374</v>
      </c>
      <c r="N17" s="159"/>
      <c r="O17" s="160"/>
      <c r="P17" s="161"/>
      <c r="Q17" s="677"/>
      <c r="R17" s="150"/>
    </row>
    <row r="18" spans="1:21" ht="15" customHeight="1">
      <c r="I18" s="175"/>
      <c r="J18" s="176"/>
      <c r="K18" s="206" t="s">
        <v>188</v>
      </c>
      <c r="L18" s="183"/>
      <c r="M18" s="667" t="s">
        <v>117</v>
      </c>
      <c r="N18" s="668"/>
      <c r="O18" s="668"/>
      <c r="P18" s="669"/>
      <c r="Q18" s="678"/>
      <c r="R18" s="150"/>
      <c r="S18" s="175"/>
      <c r="T18" s="175"/>
      <c r="U18" s="175"/>
    </row>
    <row r="19" spans="1:21" ht="15" customHeight="1">
      <c r="A19" s="137" t="s">
        <v>372</v>
      </c>
      <c r="B19" s="142" t="s">
        <v>373</v>
      </c>
      <c r="C19" s="142"/>
      <c r="D19" s="142"/>
      <c r="E19" s="149"/>
      <c r="F19" s="149"/>
      <c r="G19" s="149"/>
      <c r="H19" s="149"/>
      <c r="I19" s="149"/>
      <c r="J19" s="141"/>
      <c r="Q19" s="150"/>
      <c r="R19" s="150"/>
      <c r="S19" s="150"/>
    </row>
    <row r="20" spans="1:21" ht="15" customHeight="1">
      <c r="B20" s="667" t="s">
        <v>124</v>
      </c>
      <c r="C20" s="668"/>
      <c r="D20" s="669"/>
      <c r="E20" s="667" t="s">
        <v>419</v>
      </c>
      <c r="F20" s="668"/>
      <c r="G20" s="668"/>
      <c r="H20" s="669"/>
      <c r="I20" s="149"/>
      <c r="J20" s="137" t="s">
        <v>384</v>
      </c>
      <c r="K20" s="177" t="s">
        <v>377</v>
      </c>
    </row>
    <row r="21" spans="1:21" ht="15" customHeight="1">
      <c r="B21" s="206" t="s">
        <v>125</v>
      </c>
      <c r="C21" s="178"/>
      <c r="D21" s="183"/>
      <c r="E21" s="667" t="s">
        <v>420</v>
      </c>
      <c r="F21" s="668"/>
      <c r="G21" s="668"/>
      <c r="H21" s="669"/>
      <c r="I21" s="149"/>
      <c r="K21" s="658" t="s">
        <v>333</v>
      </c>
      <c r="L21" s="660"/>
      <c r="M21" s="658" t="s">
        <v>378</v>
      </c>
      <c r="N21" s="659"/>
      <c r="O21" s="659"/>
      <c r="P21" s="660"/>
      <c r="Q21" s="676" t="s">
        <v>379</v>
      </c>
      <c r="R21" s="179"/>
    </row>
    <row r="22" spans="1:21" ht="15" customHeight="1">
      <c r="B22" s="187" t="s">
        <v>193</v>
      </c>
      <c r="C22" s="180"/>
      <c r="D22" s="181"/>
      <c r="E22" s="667" t="s">
        <v>421</v>
      </c>
      <c r="F22" s="668"/>
      <c r="G22" s="668"/>
      <c r="H22" s="669"/>
      <c r="K22" s="661"/>
      <c r="L22" s="663"/>
      <c r="M22" s="661"/>
      <c r="N22" s="662"/>
      <c r="O22" s="662"/>
      <c r="P22" s="663"/>
      <c r="Q22" s="677"/>
      <c r="R22" s="179"/>
    </row>
    <row r="23" spans="1:21" ht="15" customHeight="1">
      <c r="B23" s="157" t="s">
        <v>194</v>
      </c>
      <c r="C23" s="159"/>
      <c r="D23" s="158"/>
      <c r="E23" s="667" t="s">
        <v>421</v>
      </c>
      <c r="F23" s="668"/>
      <c r="G23" s="668"/>
      <c r="H23" s="669"/>
      <c r="K23" s="658" t="s">
        <v>380</v>
      </c>
      <c r="L23" s="660"/>
      <c r="M23" s="658" t="s">
        <v>381</v>
      </c>
      <c r="N23" s="659"/>
      <c r="O23" s="659"/>
      <c r="P23" s="660"/>
      <c r="Q23" s="677"/>
      <c r="R23" s="179"/>
    </row>
    <row r="24" spans="1:21" ht="15" customHeight="1">
      <c r="B24" s="187" t="s">
        <v>197</v>
      </c>
      <c r="C24" s="180"/>
      <c r="D24" s="181"/>
      <c r="E24" s="667" t="s">
        <v>375</v>
      </c>
      <c r="F24" s="668"/>
      <c r="G24" s="668"/>
      <c r="H24" s="669"/>
      <c r="K24" s="661"/>
      <c r="L24" s="663"/>
      <c r="M24" s="661"/>
      <c r="N24" s="662"/>
      <c r="O24" s="662"/>
      <c r="P24" s="663"/>
      <c r="Q24" s="677"/>
      <c r="R24" s="179"/>
    </row>
    <row r="25" spans="1:21" ht="15" customHeight="1">
      <c r="B25" s="658" t="s">
        <v>38</v>
      </c>
      <c r="C25" s="659"/>
      <c r="D25" s="660"/>
      <c r="E25" s="658" t="s">
        <v>422</v>
      </c>
      <c r="F25" s="659"/>
      <c r="G25" s="659"/>
      <c r="H25" s="660"/>
      <c r="K25" s="658" t="s">
        <v>335</v>
      </c>
      <c r="L25" s="659"/>
      <c r="M25" s="658" t="s">
        <v>382</v>
      </c>
      <c r="N25" s="659"/>
      <c r="O25" s="659"/>
      <c r="P25" s="660"/>
      <c r="Q25" s="677"/>
      <c r="R25" s="179"/>
    </row>
    <row r="26" spans="1:21" ht="15" customHeight="1">
      <c r="B26" s="661"/>
      <c r="C26" s="662"/>
      <c r="D26" s="663"/>
      <c r="E26" s="661"/>
      <c r="F26" s="662"/>
      <c r="G26" s="662"/>
      <c r="H26" s="663"/>
      <c r="K26" s="664"/>
      <c r="L26" s="665"/>
      <c r="M26" s="664"/>
      <c r="N26" s="665"/>
      <c r="O26" s="665"/>
      <c r="P26" s="666"/>
      <c r="Q26" s="677"/>
      <c r="R26" s="179"/>
    </row>
    <row r="27" spans="1:21" ht="15" customHeight="1">
      <c r="B27" s="658" t="s">
        <v>199</v>
      </c>
      <c r="C27" s="659"/>
      <c r="D27" s="660"/>
      <c r="E27" s="658" t="s">
        <v>423</v>
      </c>
      <c r="F27" s="659"/>
      <c r="G27" s="659"/>
      <c r="H27" s="660"/>
      <c r="K27" s="661"/>
      <c r="L27" s="662"/>
      <c r="M27" s="661"/>
      <c r="N27" s="662"/>
      <c r="O27" s="662"/>
      <c r="P27" s="663"/>
      <c r="Q27" s="677"/>
      <c r="R27" s="179"/>
    </row>
    <row r="28" spans="1:21" ht="15" customHeight="1">
      <c r="B28" s="661"/>
      <c r="C28" s="662"/>
      <c r="D28" s="663"/>
      <c r="E28" s="661"/>
      <c r="F28" s="662"/>
      <c r="G28" s="662"/>
      <c r="H28" s="663"/>
      <c r="K28" s="658" t="s">
        <v>336</v>
      </c>
      <c r="L28" s="660"/>
      <c r="M28" s="658" t="s">
        <v>383</v>
      </c>
      <c r="N28" s="659"/>
      <c r="O28" s="659"/>
      <c r="P28" s="660"/>
      <c r="Q28" s="677"/>
      <c r="R28" s="179"/>
    </row>
    <row r="29" spans="1:21" ht="15" customHeight="1">
      <c r="B29" s="658" t="s">
        <v>200</v>
      </c>
      <c r="C29" s="659"/>
      <c r="D29" s="660"/>
      <c r="E29" s="658" t="s">
        <v>424</v>
      </c>
      <c r="F29" s="659"/>
      <c r="G29" s="659"/>
      <c r="H29" s="660"/>
      <c r="K29" s="664"/>
      <c r="L29" s="666"/>
      <c r="M29" s="664"/>
      <c r="N29" s="665"/>
      <c r="O29" s="665"/>
      <c r="P29" s="666"/>
      <c r="Q29" s="677"/>
    </row>
    <row r="30" spans="1:21" ht="15" customHeight="1">
      <c r="B30" s="661"/>
      <c r="C30" s="662"/>
      <c r="D30" s="663"/>
      <c r="E30" s="661"/>
      <c r="F30" s="662"/>
      <c r="G30" s="662"/>
      <c r="H30" s="663"/>
      <c r="K30" s="661"/>
      <c r="L30" s="663"/>
      <c r="M30" s="661"/>
      <c r="N30" s="662"/>
      <c r="O30" s="662"/>
      <c r="P30" s="663"/>
      <c r="Q30" s="678"/>
    </row>
    <row r="31" spans="1:21" ht="15" customHeight="1">
      <c r="B31" s="658" t="s">
        <v>107</v>
      </c>
      <c r="C31" s="659"/>
      <c r="D31" s="660"/>
      <c r="E31" s="658" t="s">
        <v>425</v>
      </c>
      <c r="F31" s="659"/>
      <c r="G31" s="659"/>
      <c r="H31" s="660"/>
      <c r="K31" s="201"/>
      <c r="L31" s="201"/>
      <c r="M31" s="182"/>
      <c r="N31" s="182"/>
      <c r="O31" s="182"/>
      <c r="P31" s="182"/>
      <c r="Q31" s="179"/>
      <c r="R31" s="179"/>
    </row>
    <row r="32" spans="1:21" ht="15" customHeight="1">
      <c r="B32" s="661"/>
      <c r="C32" s="662"/>
      <c r="D32" s="663"/>
      <c r="E32" s="661"/>
      <c r="F32" s="662"/>
      <c r="G32" s="662"/>
      <c r="H32" s="663"/>
    </row>
    <row r="33" spans="1:45" ht="15" customHeight="1">
      <c r="B33" s="658" t="s">
        <v>104</v>
      </c>
      <c r="C33" s="659"/>
      <c r="D33" s="660"/>
      <c r="E33" s="658" t="s">
        <v>426</v>
      </c>
      <c r="F33" s="659"/>
      <c r="G33" s="659"/>
      <c r="H33" s="660"/>
    </row>
    <row r="34" spans="1:45" ht="15" customHeight="1">
      <c r="B34" s="661"/>
      <c r="C34" s="662"/>
      <c r="D34" s="663"/>
      <c r="E34" s="661"/>
      <c r="F34" s="662"/>
      <c r="G34" s="662"/>
      <c r="H34" s="663"/>
    </row>
    <row r="35" spans="1:45" ht="15" customHeight="1">
      <c r="B35" s="206" t="s">
        <v>328</v>
      </c>
      <c r="C35" s="178"/>
      <c r="D35" s="183"/>
      <c r="E35" s="667" t="s">
        <v>427</v>
      </c>
      <c r="F35" s="668"/>
      <c r="G35" s="668"/>
      <c r="H35" s="669"/>
    </row>
    <row r="36" spans="1:45" ht="15" customHeight="1">
      <c r="A36" s="184"/>
      <c r="B36" s="171"/>
      <c r="C36" s="171"/>
      <c r="D36" s="171"/>
      <c r="E36" s="171"/>
      <c r="F36" s="171"/>
      <c r="G36" s="171"/>
      <c r="H36" s="171"/>
      <c r="I36" s="171"/>
      <c r="J36" s="184"/>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O36" s="171"/>
      <c r="AP36" s="171"/>
      <c r="AQ36" s="171"/>
      <c r="AR36" s="171"/>
      <c r="AS36" s="171"/>
    </row>
    <row r="37" spans="1:45" ht="15" customHeight="1"/>
    <row r="38" spans="1:45" ht="15" customHeight="1">
      <c r="B38" s="138" t="s">
        <v>385</v>
      </c>
    </row>
    <row r="39" spans="1:45" ht="15" customHeight="1"/>
    <row r="40" spans="1:45" ht="15" customHeight="1">
      <c r="A40" s="137" t="s">
        <v>357</v>
      </c>
      <c r="B40" s="142" t="s">
        <v>18</v>
      </c>
      <c r="J40" s="137" t="s">
        <v>384</v>
      </c>
      <c r="K40" s="142" t="s">
        <v>406</v>
      </c>
    </row>
    <row r="41" spans="1:45" ht="15" customHeight="1">
      <c r="B41" s="658" t="s">
        <v>439</v>
      </c>
      <c r="C41" s="659"/>
      <c r="D41" s="660"/>
      <c r="E41" s="679" t="s">
        <v>437</v>
      </c>
      <c r="F41" s="680"/>
      <c r="G41" s="680"/>
      <c r="H41" s="681"/>
      <c r="I41" s="185"/>
      <c r="K41" s="157" t="s">
        <v>110</v>
      </c>
      <c r="L41" s="146"/>
      <c r="M41" s="146"/>
      <c r="N41" s="162" t="s">
        <v>407</v>
      </c>
      <c r="O41" s="146"/>
      <c r="P41" s="146"/>
      <c r="Q41" s="186"/>
    </row>
    <row r="42" spans="1:45" ht="15" customHeight="1">
      <c r="B42" s="664"/>
      <c r="C42" s="665"/>
      <c r="D42" s="666"/>
      <c r="E42" s="682"/>
      <c r="F42" s="683"/>
      <c r="G42" s="683"/>
      <c r="H42" s="684"/>
      <c r="I42" s="185"/>
      <c r="K42" s="187" t="s">
        <v>274</v>
      </c>
      <c r="L42" s="154"/>
      <c r="M42" s="154"/>
      <c r="N42" s="165" t="s">
        <v>408</v>
      </c>
      <c r="O42" s="154"/>
      <c r="P42" s="154"/>
      <c r="Q42" s="188"/>
    </row>
    <row r="43" spans="1:45" ht="15" customHeight="1">
      <c r="B43" s="661"/>
      <c r="C43" s="662"/>
      <c r="D43" s="663"/>
      <c r="E43" s="685"/>
      <c r="F43" s="686"/>
      <c r="G43" s="686"/>
      <c r="H43" s="687"/>
      <c r="I43" s="185"/>
      <c r="K43" s="157" t="s">
        <v>409</v>
      </c>
      <c r="L43" s="146"/>
      <c r="M43" s="146"/>
      <c r="N43" s="162" t="s">
        <v>410</v>
      </c>
      <c r="O43" s="146"/>
      <c r="P43" s="146"/>
      <c r="Q43" s="186"/>
    </row>
    <row r="44" spans="1:45" ht="15" customHeight="1">
      <c r="B44" s="658" t="s">
        <v>440</v>
      </c>
      <c r="C44" s="659"/>
      <c r="D44" s="660"/>
      <c r="E44" s="658" t="s">
        <v>441</v>
      </c>
      <c r="F44" s="659"/>
      <c r="G44" s="659"/>
      <c r="H44" s="660"/>
      <c r="I44" s="185"/>
      <c r="K44" s="652" t="s">
        <v>184</v>
      </c>
      <c r="L44" s="653"/>
      <c r="M44" s="654"/>
      <c r="N44" s="670" t="s">
        <v>411</v>
      </c>
      <c r="O44" s="671"/>
      <c r="P44" s="671"/>
      <c r="Q44" s="672"/>
    </row>
    <row r="45" spans="1:45" ht="15" customHeight="1">
      <c r="B45" s="661"/>
      <c r="C45" s="662"/>
      <c r="D45" s="663"/>
      <c r="E45" s="661"/>
      <c r="F45" s="662"/>
      <c r="G45" s="662"/>
      <c r="H45" s="663"/>
      <c r="K45" s="655"/>
      <c r="L45" s="656"/>
      <c r="M45" s="657"/>
      <c r="N45" s="673"/>
      <c r="O45" s="674"/>
      <c r="P45" s="674"/>
      <c r="Q45" s="675"/>
    </row>
    <row r="46" spans="1:45" ht="15" customHeight="1">
      <c r="B46" s="658" t="s">
        <v>273</v>
      </c>
      <c r="C46" s="659"/>
      <c r="D46" s="660"/>
      <c r="E46" s="658" t="s">
        <v>388</v>
      </c>
      <c r="F46" s="659"/>
      <c r="G46" s="659"/>
      <c r="H46" s="660"/>
      <c r="K46" s="157" t="s">
        <v>185</v>
      </c>
      <c r="L46" s="146"/>
      <c r="M46" s="146"/>
      <c r="N46" s="162" t="s">
        <v>412</v>
      </c>
      <c r="O46" s="146"/>
      <c r="P46" s="146"/>
      <c r="Q46" s="186"/>
    </row>
    <row r="47" spans="1:45" ht="15" customHeight="1">
      <c r="B47" s="661"/>
      <c r="C47" s="662"/>
      <c r="D47" s="663"/>
      <c r="E47" s="661"/>
      <c r="F47" s="662"/>
      <c r="G47" s="662"/>
      <c r="H47" s="663"/>
      <c r="K47" s="187" t="s">
        <v>186</v>
      </c>
      <c r="L47" s="154"/>
      <c r="M47" s="154"/>
      <c r="N47" s="165" t="s">
        <v>413</v>
      </c>
      <c r="O47" s="154"/>
      <c r="P47" s="154"/>
      <c r="Q47" s="188"/>
    </row>
    <row r="48" spans="1:45" ht="15" customHeight="1">
      <c r="B48" s="658" t="s">
        <v>275</v>
      </c>
      <c r="C48" s="659"/>
      <c r="D48" s="660"/>
      <c r="E48" s="658" t="s">
        <v>391</v>
      </c>
      <c r="F48" s="659"/>
      <c r="G48" s="659"/>
      <c r="H48" s="660"/>
      <c r="K48" s="157" t="s">
        <v>187</v>
      </c>
      <c r="L48" s="146"/>
      <c r="M48" s="146"/>
      <c r="N48" s="162" t="s">
        <v>414</v>
      </c>
      <c r="O48" s="146"/>
      <c r="P48" s="146"/>
      <c r="Q48" s="186"/>
    </row>
    <row r="49" spans="1:17" ht="15" customHeight="1">
      <c r="B49" s="661"/>
      <c r="C49" s="662"/>
      <c r="D49" s="663"/>
      <c r="E49" s="661"/>
      <c r="F49" s="662"/>
      <c r="G49" s="662"/>
      <c r="H49" s="663"/>
      <c r="J49" s="136"/>
    </row>
    <row r="50" spans="1:17" ht="15" customHeight="1">
      <c r="B50" s="667" t="s">
        <v>276</v>
      </c>
      <c r="C50" s="668"/>
      <c r="D50" s="669"/>
      <c r="E50" s="667" t="s">
        <v>393</v>
      </c>
      <c r="F50" s="668"/>
      <c r="G50" s="668"/>
      <c r="H50" s="669"/>
      <c r="J50" s="137" t="s">
        <v>386</v>
      </c>
      <c r="K50" s="142" t="s">
        <v>432</v>
      </c>
    </row>
    <row r="51" spans="1:17" ht="15" customHeight="1">
      <c r="B51" s="667" t="s">
        <v>436</v>
      </c>
      <c r="C51" s="668"/>
      <c r="D51" s="669"/>
      <c r="E51" s="667" t="s">
        <v>438</v>
      </c>
      <c r="F51" s="668"/>
      <c r="G51" s="668"/>
      <c r="H51" s="669"/>
      <c r="K51" s="189" t="s">
        <v>387</v>
      </c>
    </row>
    <row r="52" spans="1:17" ht="15" customHeight="1">
      <c r="B52" s="200" t="s">
        <v>278</v>
      </c>
      <c r="C52" s="201"/>
      <c r="D52" s="202"/>
      <c r="E52" s="661" t="s">
        <v>394</v>
      </c>
      <c r="F52" s="662"/>
      <c r="G52" s="662"/>
      <c r="H52" s="663"/>
    </row>
    <row r="53" spans="1:17" ht="15" customHeight="1">
      <c r="B53" s="203" t="s">
        <v>279</v>
      </c>
      <c r="C53" s="204"/>
      <c r="D53" s="205"/>
      <c r="E53" s="667" t="s">
        <v>396</v>
      </c>
      <c r="F53" s="668"/>
      <c r="G53" s="668"/>
      <c r="H53" s="669"/>
      <c r="J53" s="137" t="s">
        <v>376</v>
      </c>
      <c r="K53" s="142" t="s">
        <v>389</v>
      </c>
    </row>
    <row r="54" spans="1:17" ht="15" customHeight="1">
      <c r="K54" s="190" t="s">
        <v>390</v>
      </c>
    </row>
    <row r="55" spans="1:17" ht="15" customHeight="1">
      <c r="A55" s="137" t="s">
        <v>372</v>
      </c>
      <c r="B55" s="177" t="s">
        <v>399</v>
      </c>
      <c r="K55" s="191" t="s">
        <v>392</v>
      </c>
      <c r="L55" s="192"/>
      <c r="M55" s="192"/>
      <c r="N55" s="192"/>
      <c r="O55" s="192"/>
      <c r="P55" s="192"/>
      <c r="Q55" s="193"/>
    </row>
    <row r="56" spans="1:17" ht="15" customHeight="1">
      <c r="B56" s="189" t="s">
        <v>387</v>
      </c>
      <c r="K56" s="157" t="s">
        <v>354</v>
      </c>
      <c r="L56" s="158"/>
      <c r="M56" s="194" t="s">
        <v>395</v>
      </c>
      <c r="N56" s="173"/>
      <c r="O56" s="173"/>
      <c r="P56" s="173"/>
      <c r="Q56" s="174"/>
    </row>
    <row r="57" spans="1:17">
      <c r="K57" s="195" t="s">
        <v>280</v>
      </c>
      <c r="L57" s="195"/>
      <c r="M57" s="136" t="s">
        <v>397</v>
      </c>
      <c r="Q57" s="196"/>
    </row>
    <row r="58" spans="1:17">
      <c r="A58" s="137" t="s">
        <v>403</v>
      </c>
      <c r="B58" s="142" t="s">
        <v>428</v>
      </c>
      <c r="K58" s="195" t="s">
        <v>355</v>
      </c>
      <c r="L58" s="195"/>
      <c r="M58" s="194" t="s">
        <v>398</v>
      </c>
      <c r="N58" s="173"/>
      <c r="O58" s="173"/>
      <c r="P58" s="173"/>
      <c r="Q58" s="174"/>
    </row>
    <row r="59" spans="1:17">
      <c r="B59" s="197" t="s">
        <v>429</v>
      </c>
      <c r="C59" s="198"/>
      <c r="D59" s="198"/>
      <c r="E59" s="197" t="s">
        <v>430</v>
      </c>
      <c r="F59" s="198"/>
      <c r="G59" s="198"/>
      <c r="H59" s="199"/>
      <c r="K59" s="195" t="s">
        <v>356</v>
      </c>
      <c r="L59" s="195"/>
      <c r="M59" s="136" t="s">
        <v>400</v>
      </c>
      <c r="Q59" s="196"/>
    </row>
    <row r="60" spans="1:17">
      <c r="B60" s="157" t="s">
        <v>288</v>
      </c>
      <c r="C60" s="159"/>
      <c r="D60" s="159"/>
      <c r="E60" s="157" t="s">
        <v>431</v>
      </c>
      <c r="F60" s="159"/>
      <c r="G60" s="159"/>
      <c r="H60" s="158"/>
      <c r="K60" s="195" t="s">
        <v>401</v>
      </c>
      <c r="L60" s="195"/>
      <c r="M60" s="194" t="s">
        <v>402</v>
      </c>
      <c r="N60" s="173"/>
      <c r="O60" s="173"/>
      <c r="P60" s="173"/>
      <c r="Q60" s="174"/>
    </row>
    <row r="61" spans="1:17">
      <c r="B61" s="157" t="s">
        <v>293</v>
      </c>
      <c r="C61" s="159"/>
      <c r="D61" s="158"/>
      <c r="E61" s="146" t="s">
        <v>404</v>
      </c>
      <c r="F61" s="146"/>
      <c r="G61" s="146"/>
      <c r="H61" s="186"/>
      <c r="J61" s="136"/>
    </row>
    <row r="62" spans="1:17" ht="14.45" customHeight="1">
      <c r="B62" s="652" t="s">
        <v>294</v>
      </c>
      <c r="C62" s="653"/>
      <c r="D62" s="654"/>
      <c r="E62" s="670" t="s">
        <v>405</v>
      </c>
      <c r="F62" s="671"/>
      <c r="G62" s="671"/>
      <c r="H62" s="672"/>
      <c r="J62" s="136"/>
    </row>
    <row r="63" spans="1:17">
      <c r="B63" s="655"/>
      <c r="C63" s="656"/>
      <c r="D63" s="657"/>
      <c r="E63" s="673"/>
      <c r="F63" s="674"/>
      <c r="G63" s="674"/>
      <c r="H63" s="675"/>
      <c r="J63" s="136"/>
    </row>
    <row r="65" spans="1:1">
      <c r="A65" s="136"/>
    </row>
    <row r="66" spans="1:1">
      <c r="A66" s="136"/>
    </row>
    <row r="67" spans="1:1">
      <c r="A67" s="136"/>
    </row>
    <row r="68" spans="1:1">
      <c r="A68" s="136"/>
    </row>
    <row r="69" spans="1:1">
      <c r="A69" s="136"/>
    </row>
    <row r="70" spans="1:1" ht="14.45" customHeight="1">
      <c r="A70" s="136"/>
    </row>
    <row r="71" spans="1:1">
      <c r="A71" s="136"/>
    </row>
    <row r="72" spans="1:1">
      <c r="A72" s="136"/>
    </row>
    <row r="73" spans="1:1" ht="14.45" customHeight="1">
      <c r="A73" s="136"/>
    </row>
  </sheetData>
  <sheetProtection algorithmName="SHA-512" hashValue="LoE+hTG6NB0QNm/yLDapzyZulCt/49gCp2DnQTDKv0I/8vRG7KNC9fwHNqHsym0KOL14qljogE2TLI5yu+5FDA==" saltValue="Kmu+IzaiQK0NKVCO0wyvzA==" spinCount="100000" sheet="1" objects="1" scenarios="1"/>
  <mergeCells count="54">
    <mergeCell ref="A1:U3"/>
    <mergeCell ref="A4:AE4"/>
    <mergeCell ref="K9:L10"/>
    <mergeCell ref="M9:P10"/>
    <mergeCell ref="B20:D20"/>
    <mergeCell ref="E20:H20"/>
    <mergeCell ref="M18:P18"/>
    <mergeCell ref="M12:P12"/>
    <mergeCell ref="K14:L16"/>
    <mergeCell ref="M14:P16"/>
    <mergeCell ref="Q9:Q18"/>
    <mergeCell ref="K6:L6"/>
    <mergeCell ref="K23:L24"/>
    <mergeCell ref="M23:P24"/>
    <mergeCell ref="Q21:Q30"/>
    <mergeCell ref="E46:H47"/>
    <mergeCell ref="E31:H32"/>
    <mergeCell ref="E33:H34"/>
    <mergeCell ref="E21:H21"/>
    <mergeCell ref="E35:H35"/>
    <mergeCell ref="K21:L22"/>
    <mergeCell ref="M21:P22"/>
    <mergeCell ref="K25:L27"/>
    <mergeCell ref="M25:P27"/>
    <mergeCell ref="K28:L30"/>
    <mergeCell ref="M28:P30"/>
    <mergeCell ref="E41:H43"/>
    <mergeCell ref="N44:Q45"/>
    <mergeCell ref="E53:H53"/>
    <mergeCell ref="B62:D63"/>
    <mergeCell ref="E62:H63"/>
    <mergeCell ref="B46:D47"/>
    <mergeCell ref="B44:D45"/>
    <mergeCell ref="E44:H45"/>
    <mergeCell ref="E52:H52"/>
    <mergeCell ref="B48:D49"/>
    <mergeCell ref="E48:H49"/>
    <mergeCell ref="E50:H50"/>
    <mergeCell ref="B50:D50"/>
    <mergeCell ref="B51:D51"/>
    <mergeCell ref="E51:H51"/>
    <mergeCell ref="B27:D28"/>
    <mergeCell ref="E22:H22"/>
    <mergeCell ref="E23:H23"/>
    <mergeCell ref="B25:D26"/>
    <mergeCell ref="E25:H26"/>
    <mergeCell ref="E27:H28"/>
    <mergeCell ref="E24:H24"/>
    <mergeCell ref="K44:M45"/>
    <mergeCell ref="B33:D34"/>
    <mergeCell ref="B29:D30"/>
    <mergeCell ref="B31:D32"/>
    <mergeCell ref="E29:H30"/>
    <mergeCell ref="B41:D43"/>
  </mergeCells>
  <hyperlinks>
    <hyperlink ref="K6" location="'Table of Contents'!B17" display="Table of Contents" xr:uid="{CE3F7C79-4658-4D96-A603-D32A5F806625}"/>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D111"/>
  <sheetViews>
    <sheetView showGridLines="0" showRowColHeaders="0" tabSelected="1" zoomScale="70" zoomScaleNormal="70" workbookViewId="0">
      <selection activeCell="K10" sqref="K10:L10"/>
    </sheetView>
  </sheetViews>
  <sheetFormatPr defaultColWidth="8.73046875" defaultRowHeight="14.25"/>
  <cols>
    <col min="1" max="1" width="2.59765625" customWidth="1"/>
    <col min="2" max="2" width="20.59765625" customWidth="1"/>
    <col min="3" max="3" width="17.1328125" customWidth="1"/>
    <col min="4" max="4" width="22.1328125" customWidth="1"/>
    <col min="5" max="5" width="17.1328125" customWidth="1"/>
    <col min="6" max="6" width="5.59765625" customWidth="1"/>
    <col min="7" max="7" width="17.1328125" customWidth="1"/>
    <col min="8" max="8" width="5.59765625" customWidth="1"/>
    <col min="9" max="9" width="14.59765625" customWidth="1"/>
    <col min="10" max="10" width="11.1328125" customWidth="1"/>
    <col min="11" max="11" width="7.59765625" customWidth="1"/>
    <col min="12" max="12" width="15.1328125" customWidth="1"/>
    <col min="13" max="13" width="2.86328125" customWidth="1"/>
    <col min="14" max="14" width="26.59765625" customWidth="1"/>
    <col min="15" max="15" width="11.73046875" customWidth="1"/>
    <col min="16" max="16" width="18.1328125" customWidth="1"/>
    <col min="17" max="17" width="12.73046875" customWidth="1"/>
    <col min="18" max="18" width="37.6640625" customWidth="1"/>
    <col min="19" max="19" width="17" customWidth="1"/>
    <col min="20" max="20" width="26" customWidth="1"/>
    <col min="21" max="21" width="23.59765625" customWidth="1"/>
    <col min="22" max="23" width="26.59765625" customWidth="1"/>
    <col min="24" max="24" width="8.86328125" customWidth="1"/>
    <col min="25" max="25" width="26.3984375" customWidth="1"/>
    <col min="26" max="54" width="20.265625" customWidth="1"/>
    <col min="55" max="55" width="20.265625" hidden="1" customWidth="1"/>
    <col min="56" max="56" width="12.265625" hidden="1" customWidth="1"/>
    <col min="57" max="57" width="9.59765625" hidden="1" customWidth="1"/>
    <col min="58" max="58" width="15" hidden="1" customWidth="1"/>
    <col min="59" max="59" width="13.265625" hidden="1" customWidth="1"/>
    <col min="60" max="60" width="9.1328125" hidden="1" customWidth="1"/>
    <col min="61" max="61" width="24.265625" hidden="1" customWidth="1"/>
    <col min="62" max="62" width="14.3984375" hidden="1" customWidth="1"/>
    <col min="63" max="63" width="9.1328125" hidden="1" customWidth="1"/>
    <col min="64" max="64" width="20.73046875" hidden="1" customWidth="1"/>
    <col min="65" max="65" width="12" hidden="1" customWidth="1"/>
    <col min="66" max="66" width="13.86328125" hidden="1" customWidth="1"/>
    <col min="67" max="67" width="12" hidden="1" customWidth="1"/>
    <col min="68" max="68" width="9.1328125" hidden="1" customWidth="1"/>
    <col min="69" max="69" width="18.73046875" hidden="1" customWidth="1"/>
    <col min="70" max="70" width="8.59765625" hidden="1" customWidth="1"/>
    <col min="71" max="73" width="9.1328125" hidden="1" customWidth="1"/>
    <col min="74" max="74" width="10.3984375" hidden="1" customWidth="1"/>
    <col min="75" max="75" width="10" hidden="1" customWidth="1"/>
    <col min="76" max="77" width="9.1328125" hidden="1" customWidth="1"/>
    <col min="78" max="78" width="9.59765625" hidden="1" customWidth="1"/>
    <col min="79" max="79" width="11.1328125" hidden="1" customWidth="1"/>
    <col min="80" max="80" width="12.73046875" hidden="1" customWidth="1"/>
    <col min="81" max="81" width="9.1328125" hidden="1" customWidth="1"/>
    <col min="82" max="82" width="8.73046875" hidden="1" customWidth="1"/>
    <col min="83" max="83" width="8.73046875" customWidth="1"/>
  </cols>
  <sheetData>
    <row r="1" spans="1:80" ht="15" customHeight="1">
      <c r="A1" s="577"/>
      <c r="B1" s="577"/>
      <c r="C1" s="577"/>
      <c r="D1" s="577"/>
      <c r="E1" s="577"/>
      <c r="F1" s="577"/>
      <c r="G1" s="577"/>
      <c r="H1" s="577"/>
      <c r="I1" s="577"/>
      <c r="J1" s="577"/>
      <c r="K1" s="577"/>
    </row>
    <row r="2" spans="1:80" ht="15" customHeight="1" thickBot="1">
      <c r="A2" s="577"/>
      <c r="B2" s="577"/>
      <c r="C2" s="577"/>
      <c r="D2" s="577"/>
      <c r="E2" s="577"/>
      <c r="F2" s="577"/>
      <c r="G2" s="577"/>
      <c r="H2" s="577"/>
      <c r="I2" s="577"/>
      <c r="J2" s="577"/>
      <c r="K2" s="577"/>
      <c r="N2" s="580" t="s">
        <v>8</v>
      </c>
      <c r="O2" s="580"/>
    </row>
    <row r="3" spans="1:80" ht="15" customHeight="1">
      <c r="A3" s="577"/>
      <c r="B3" s="577"/>
      <c r="C3" s="577"/>
      <c r="D3" s="577"/>
      <c r="E3" s="577"/>
      <c r="F3" s="577"/>
      <c r="G3" s="577"/>
      <c r="H3" s="577"/>
      <c r="I3" s="577"/>
      <c r="J3" s="577"/>
      <c r="K3" s="577"/>
    </row>
    <row r="4" spans="1:80" ht="15" customHeight="1">
      <c r="A4" s="574"/>
      <c r="B4" s="574"/>
      <c r="C4" s="574"/>
      <c r="D4" s="574"/>
      <c r="E4" s="574"/>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574"/>
      <c r="AG4" s="574"/>
      <c r="AH4" s="574"/>
      <c r="AI4" s="574"/>
      <c r="AJ4" s="574"/>
      <c r="AK4" s="574"/>
      <c r="AL4" s="574"/>
      <c r="AM4" s="574"/>
      <c r="AN4" s="574"/>
      <c r="AO4" s="574"/>
      <c r="AP4" s="574"/>
      <c r="AQ4" s="574"/>
      <c r="AR4" s="574"/>
      <c r="AS4" s="574"/>
      <c r="AT4" s="574"/>
      <c r="AU4" s="574"/>
      <c r="AV4" s="574"/>
      <c r="AW4" s="574"/>
      <c r="AX4" s="574"/>
      <c r="AY4" s="574"/>
      <c r="AZ4" s="574"/>
      <c r="BA4" s="574"/>
      <c r="BB4" s="574"/>
      <c r="BC4" s="574"/>
      <c r="BD4" s="574"/>
      <c r="BE4" s="574"/>
      <c r="BF4" s="574"/>
      <c r="BG4" s="574"/>
      <c r="BH4" s="574"/>
      <c r="BI4" s="574"/>
      <c r="BJ4" s="574"/>
      <c r="BK4" s="574"/>
      <c r="BL4" s="574"/>
      <c r="BM4" s="574"/>
      <c r="BN4" s="574"/>
      <c r="BO4" s="574"/>
      <c r="BP4" s="574"/>
      <c r="BQ4" s="574"/>
      <c r="BR4" s="574"/>
    </row>
    <row r="5" spans="1:80" ht="15" customHeight="1" thickBot="1"/>
    <row r="6" spans="1:80" ht="17.100000000000001" customHeight="1" thickBot="1">
      <c r="B6" s="410" t="str">
        <f>IF(K7="[Select Configuration]","selectConfig",IF(K7="Differential without R3'","withoutR3",IF(K7="Differential with R3'","withR3",IF(K7="Single-Ended","single",IF(K7="Integrated Resistor Divider","IntRdiv"," ")))))</f>
        <v>single</v>
      </c>
      <c r="C6" s="410"/>
      <c r="D6" s="410"/>
      <c r="G6" s="517" t="s">
        <v>18</v>
      </c>
      <c r="H6" s="518"/>
      <c r="I6" s="518"/>
      <c r="J6" s="518"/>
      <c r="K6" s="518"/>
      <c r="L6" s="519"/>
      <c r="N6" s="572" t="str">
        <f>IF(BM13&lt;0,"Invalid inputs. Increase Peak High Voltage or reduce R1 &amp; R2 resistance.","")</f>
        <v/>
      </c>
      <c r="O6" s="572"/>
      <c r="P6" s="572"/>
      <c r="Q6" s="572"/>
      <c r="R6" s="14"/>
      <c r="BS6" t="s">
        <v>119</v>
      </c>
      <c r="BT6" t="s">
        <v>129</v>
      </c>
      <c r="BU6" t="s">
        <v>130</v>
      </c>
      <c r="BV6" t="s">
        <v>131</v>
      </c>
      <c r="BW6" t="s">
        <v>132</v>
      </c>
      <c r="BX6" t="s">
        <v>133</v>
      </c>
      <c r="BY6" t="s">
        <v>134</v>
      </c>
      <c r="BZ6" t="s">
        <v>135</v>
      </c>
      <c r="CA6" t="s">
        <v>136</v>
      </c>
      <c r="CB6" t="s">
        <v>137</v>
      </c>
    </row>
    <row r="7" spans="1:80" ht="15" customHeight="1" thickBot="1">
      <c r="B7" s="410"/>
      <c r="C7" s="410"/>
      <c r="D7" s="410"/>
      <c r="E7" s="15"/>
      <c r="G7" s="561" t="s">
        <v>449</v>
      </c>
      <c r="H7" s="562"/>
      <c r="I7" s="562"/>
      <c r="J7" s="562"/>
      <c r="K7" s="581" t="s">
        <v>52</v>
      </c>
      <c r="L7" s="582"/>
      <c r="N7" s="600" t="str">
        <f>IF(OR(K8="[Select Device]",K7="[Select Configuration]")," ",IF(K7="Differential without R3'",IF(VLOOKUP(K8, Devices[], COLUMN(Devices[Differential Input Resistance]),0)&lt;30000,"This device has low input impedance and is optimized for current sensing. Please consider using a device with higher input impedance or the differential with R3' configuration to reduce gain errors.", ""),IF(VLOOKUP(K8, Devices[], COLUMN(Devices[Differential Input Resistance]),0)&lt;30000,"This device has low input impedance and is optimized for current sensing. Please consider using a device with higher input impedance.", IF(K7 = "Integrated Resistor Divider", "This device contains an integrated resistor divider."," "))))</f>
        <v xml:space="preserve"> </v>
      </c>
      <c r="O7" s="600"/>
      <c r="P7" s="600"/>
      <c r="Q7" s="600"/>
      <c r="BS7" s="16">
        <v>10</v>
      </c>
      <c r="BT7" s="17">
        <f>Table3[[#This Row],[R]]*10</f>
        <v>100</v>
      </c>
      <c r="BU7" s="18">
        <f>Table3[[#This Row],[R2]]*10</f>
        <v>1000</v>
      </c>
      <c r="BV7" s="18">
        <f>Table3[[#This Row],[R3]]*10</f>
        <v>10000</v>
      </c>
      <c r="BW7" s="18">
        <f>Table3[[#This Row],[R4]]*10</f>
        <v>100000</v>
      </c>
      <c r="BX7" s="18">
        <f>Table3[[#This Row],[R]]/10</f>
        <v>1</v>
      </c>
      <c r="BY7" s="18">
        <f>Table3[[#This Row],[R6]]/10</f>
        <v>0.1</v>
      </c>
      <c r="BZ7" s="18">
        <f>Table3[[#This Row],[R7]]/10</f>
        <v>0.01</v>
      </c>
      <c r="CA7" s="18">
        <f>Table3[[#This Row],[R8]]/10</f>
        <v>1E-3</v>
      </c>
      <c r="CB7" s="18">
        <f>Table3[[#This Row],[R9]]/10</f>
        <v>1E-4</v>
      </c>
    </row>
    <row r="8" spans="1:80" ht="15" customHeight="1" thickBot="1">
      <c r="B8" s="410"/>
      <c r="C8" s="410"/>
      <c r="D8" s="410"/>
      <c r="G8" s="563" t="s">
        <v>54</v>
      </c>
      <c r="H8" s="564"/>
      <c r="I8" s="564"/>
      <c r="J8" s="564"/>
      <c r="K8" s="583" t="s">
        <v>538</v>
      </c>
      <c r="L8" s="584"/>
      <c r="N8" s="600"/>
      <c r="O8" s="600"/>
      <c r="P8" s="600"/>
      <c r="Q8" s="600"/>
      <c r="BF8" s="565" t="s">
        <v>160</v>
      </c>
      <c r="BG8" s="566"/>
      <c r="BH8" s="19" t="s">
        <v>118</v>
      </c>
      <c r="BI8" s="565" t="s">
        <v>157</v>
      </c>
      <c r="BJ8" s="566"/>
      <c r="BL8" s="565" t="s">
        <v>163</v>
      </c>
      <c r="BM8" s="569"/>
      <c r="BN8" s="569"/>
      <c r="BO8" s="566"/>
      <c r="BQ8" s="565" t="s">
        <v>139</v>
      </c>
      <c r="BR8" s="566"/>
      <c r="BS8" s="20">
        <v>10.199999999999999</v>
      </c>
      <c r="BT8" s="17">
        <f>Table3[[#This Row],[R]]*10</f>
        <v>102</v>
      </c>
      <c r="BU8" s="18">
        <f>Table3[[#This Row],[R2]]*10</f>
        <v>1020</v>
      </c>
      <c r="BV8" s="18">
        <f>Table3[[#This Row],[R3]]*10</f>
        <v>10200</v>
      </c>
      <c r="BW8" s="18">
        <f>Table3[[#This Row],[R4]]*10</f>
        <v>102000</v>
      </c>
      <c r="BX8" s="18">
        <f>Table3[[#This Row],[R]]/10</f>
        <v>1.02</v>
      </c>
      <c r="BY8" s="18">
        <f>Table3[[#This Row],[R6]]/10</f>
        <v>0.10200000000000001</v>
      </c>
      <c r="BZ8" s="18">
        <f>Table3[[#This Row],[R7]]/10</f>
        <v>1.0200000000000001E-2</v>
      </c>
      <c r="CA8" s="18">
        <f>Table3[[#This Row],[R8]]/10</f>
        <v>1.0200000000000001E-3</v>
      </c>
      <c r="CB8" s="18">
        <f>Table3[[#This Row],[R9]]/10</f>
        <v>1.0200000000000001E-4</v>
      </c>
    </row>
    <row r="9" spans="1:80" ht="15" customHeight="1" thickBot="1">
      <c r="B9" s="410"/>
      <c r="C9" s="410"/>
      <c r="D9" s="410"/>
      <c r="G9" s="547" t="s">
        <v>87</v>
      </c>
      <c r="H9" s="548"/>
      <c r="I9" s="548"/>
      <c r="J9" s="549"/>
      <c r="K9" s="585">
        <v>200</v>
      </c>
      <c r="L9" s="586"/>
      <c r="M9" s="21"/>
      <c r="N9" t="str">
        <f>IF(OR(K8="[Select Device]",K7="[Select Configuration]")," ",IF(K7="Integrated Resistor Divider","Please reference the device datasheet for linear input range.", " "))</f>
        <v xml:space="preserve"> </v>
      </c>
      <c r="BF9" s="22" t="s">
        <v>86</v>
      </c>
      <c r="BG9" s="23">
        <f>(K12/1000)/K9</f>
        <v>5.0000000000000001E-3</v>
      </c>
      <c r="BH9" s="22"/>
      <c r="BI9" s="24" t="s">
        <v>89</v>
      </c>
      <c r="BJ9" s="25">
        <f>BJ10*0.85</f>
        <v>850000000</v>
      </c>
      <c r="BL9" s="565" t="s">
        <v>164</v>
      </c>
      <c r="BM9" s="566"/>
      <c r="BN9" s="569" t="s">
        <v>126</v>
      </c>
      <c r="BO9" s="566"/>
      <c r="BQ9" s="22" t="s">
        <v>165</v>
      </c>
      <c r="BR9" s="26">
        <f>IF(OR(K8="[Select Device]",K7="[Select Configuration]")," ",IF(OR(K7="Differential without R3'",K7="Single-Ended"),BM18,BO10))</f>
        <v>62804.137653269667</v>
      </c>
      <c r="BS9" s="20">
        <v>10.5</v>
      </c>
      <c r="BT9" s="17">
        <f>Table3[[#This Row],[R]]*10</f>
        <v>105</v>
      </c>
      <c r="BU9" s="18">
        <f>Table3[[#This Row],[R2]]*10</f>
        <v>1050</v>
      </c>
      <c r="BV9" s="18">
        <f>Table3[[#This Row],[R3]]*10</f>
        <v>10500</v>
      </c>
      <c r="BW9" s="18">
        <f>Table3[[#This Row],[R4]]*10</f>
        <v>105000</v>
      </c>
      <c r="BX9" s="18">
        <f>Table3[[#This Row],[R]]/10</f>
        <v>1.05</v>
      </c>
      <c r="BY9" s="18">
        <f>Table3[[#This Row],[R6]]/10</f>
        <v>0.10500000000000001</v>
      </c>
      <c r="BZ9" s="18">
        <f>Table3[[#This Row],[R7]]/10</f>
        <v>1.0500000000000001E-2</v>
      </c>
      <c r="CA9" s="18">
        <f>Table3[[#This Row],[R8]]/10</f>
        <v>1.0500000000000002E-3</v>
      </c>
      <c r="CB9" s="18">
        <f>Table3[[#This Row],[R9]]/10</f>
        <v>1.0500000000000002E-4</v>
      </c>
    </row>
    <row r="10" spans="1:80" ht="15" customHeight="1" thickBot="1">
      <c r="B10" s="410"/>
      <c r="C10" s="410"/>
      <c r="D10" s="410"/>
      <c r="G10" s="547" t="s">
        <v>41</v>
      </c>
      <c r="H10" s="548"/>
      <c r="I10" s="548"/>
      <c r="J10" s="549"/>
      <c r="K10" s="593">
        <v>12500000</v>
      </c>
      <c r="L10" s="594"/>
      <c r="M10" s="21"/>
      <c r="N10" t="str">
        <f>IF(OR(K8="[Select Device]",K7="[Select Configuration]")," ",IF(K7="Integrated Resistor Divider","Please set R1 Resistance to high ohmic value R1 as specified in datasheet and R2 Resistance to 0Ω."," "))</f>
        <v xml:space="preserve"> </v>
      </c>
      <c r="BF10" s="22" t="s">
        <v>198</v>
      </c>
      <c r="BG10" s="23">
        <f>(((2*K13)+BJ10)/((2*K13+BJ10)+K18+(1/((1/(K10+K11))+(1/K17)))))*K17/((K10+K11)+K17)</f>
        <v>4.9989009276478731E-3</v>
      </c>
      <c r="BH10" s="28">
        <f>BG10*BG21</f>
        <v>4.9989008276698568E-3</v>
      </c>
      <c r="BI10" s="29" t="s">
        <v>91</v>
      </c>
      <c r="BJ10" s="30">
        <f>IF(K7="[Select Configuration]", " ", IF(K8="[Select Device]", "e in the User Inputs.  ", VLOOKUP(K8, Devices[], COLUMN(Devices[Differential Input Resistance]), 0)))</f>
        <v>1000000000</v>
      </c>
      <c r="BL10" s="31" t="s">
        <v>177</v>
      </c>
      <c r="BM10" s="32"/>
      <c r="BN10" t="s">
        <v>183</v>
      </c>
      <c r="BO10" s="26">
        <f>((BG9*(K10+K11)))/(1-BG9-BG9*(2*(K10+K11))/(2*K13+BJ10))</f>
        <v>62821.962557952451</v>
      </c>
      <c r="BQ10" s="22" t="s">
        <v>166</v>
      </c>
      <c r="BR10" s="26">
        <f t="array" ref="BR10">MAX(IF(Table3[]&lt;=BR9,Table3[]))</f>
        <v>61900</v>
      </c>
      <c r="BS10" s="20">
        <v>10.7</v>
      </c>
      <c r="BT10" s="17">
        <f>Table3[[#This Row],[R]]*10</f>
        <v>107</v>
      </c>
      <c r="BU10" s="18">
        <f>Table3[[#This Row],[R2]]*10</f>
        <v>1070</v>
      </c>
      <c r="BV10" s="18">
        <f>Table3[[#This Row],[R3]]*10</f>
        <v>10700</v>
      </c>
      <c r="BW10" s="18">
        <f>Table3[[#This Row],[R4]]*10</f>
        <v>107000</v>
      </c>
      <c r="BX10" s="18">
        <f>Table3[[#This Row],[R]]/10</f>
        <v>1.0699999999999998</v>
      </c>
      <c r="BY10" s="18">
        <f>Table3[[#This Row],[R6]]/10</f>
        <v>0.10699999999999998</v>
      </c>
      <c r="BZ10" s="18">
        <f>Table3[[#This Row],[R7]]/10</f>
        <v>1.0699999999999998E-2</v>
      </c>
      <c r="CA10" s="18">
        <f>Table3[[#This Row],[R8]]/10</f>
        <v>1.0699999999999998E-3</v>
      </c>
      <c r="CB10" s="18">
        <f>Table3[[#This Row],[R9]]/10</f>
        <v>1.0699999999999997E-4</v>
      </c>
    </row>
    <row r="11" spans="1:80" ht="15" customHeight="1" thickBot="1">
      <c r="B11" s="410"/>
      <c r="C11" s="410"/>
      <c r="D11" s="410"/>
      <c r="G11" s="547" t="s">
        <v>40</v>
      </c>
      <c r="H11" s="548"/>
      <c r="I11" s="548"/>
      <c r="J11" s="549"/>
      <c r="K11" s="593">
        <v>0</v>
      </c>
      <c r="L11" s="594"/>
      <c r="M11" s="21"/>
      <c r="N11" s="575" t="str">
        <f>IF(OR(K8="[Select Device]",K7="[Select Configuration]")," ",IF(K7="Integrated Resistor Divider","Please set Applied Full-Scale Voltage, R3 to be 1000mV which maximizes linear input voltage range to the internal ADC.", " "))</f>
        <v xml:space="preserve"> </v>
      </c>
      <c r="O11" s="575"/>
      <c r="P11" s="575"/>
      <c r="Q11" s="575"/>
      <c r="R11" s="575"/>
      <c r="BF11" s="22" t="s">
        <v>88</v>
      </c>
      <c r="BG11" s="23">
        <v>0</v>
      </c>
      <c r="BH11" s="22"/>
      <c r="BI11" s="34" t="s">
        <v>90</v>
      </c>
      <c r="BJ11" s="35">
        <f>BJ10*1.15</f>
        <v>1150000000</v>
      </c>
      <c r="BL11" s="22" t="s">
        <v>167</v>
      </c>
      <c r="BM11" s="36">
        <f>K12</f>
        <v>1000</v>
      </c>
      <c r="BN11" t="s">
        <v>182</v>
      </c>
      <c r="BO11" s="26">
        <f>BR10</f>
        <v>61900</v>
      </c>
      <c r="BQ11" s="37" t="s">
        <v>138</v>
      </c>
      <c r="BR11" s="38"/>
      <c r="BS11" s="20">
        <v>11</v>
      </c>
      <c r="BT11" s="17">
        <f>Table3[[#This Row],[R]]*10</f>
        <v>110</v>
      </c>
      <c r="BU11" s="18">
        <f>Table3[[#This Row],[R2]]*10</f>
        <v>1100</v>
      </c>
      <c r="BV11" s="18">
        <f>Table3[[#This Row],[R3]]*10</f>
        <v>11000</v>
      </c>
      <c r="BW11" s="18">
        <f>Table3[[#This Row],[R4]]*10</f>
        <v>110000</v>
      </c>
      <c r="BX11" s="18">
        <f>Table3[[#This Row],[R]]/10</f>
        <v>1.1000000000000001</v>
      </c>
      <c r="BY11" s="18">
        <f>Table3[[#This Row],[R6]]/10</f>
        <v>0.11000000000000001</v>
      </c>
      <c r="BZ11" s="18">
        <f>Table3[[#This Row],[R7]]/10</f>
        <v>1.1000000000000001E-2</v>
      </c>
      <c r="CA11" s="18">
        <f>Table3[[#This Row],[R8]]/10</f>
        <v>1.1000000000000001E-3</v>
      </c>
      <c r="CB11" s="18">
        <f>Table3[[#This Row],[R9]]/10</f>
        <v>1.1E-4</v>
      </c>
    </row>
    <row r="12" spans="1:80" ht="15" customHeight="1" thickBot="1">
      <c r="B12" s="410"/>
      <c r="C12" s="410"/>
      <c r="D12" s="410"/>
      <c r="G12" s="547" t="s">
        <v>115</v>
      </c>
      <c r="H12" s="548"/>
      <c r="I12" s="548"/>
      <c r="J12" s="549"/>
      <c r="K12" s="595">
        <v>1000</v>
      </c>
      <c r="L12" s="596"/>
      <c r="M12" s="39"/>
      <c r="N12" s="575"/>
      <c r="O12" s="575"/>
      <c r="P12" s="575"/>
      <c r="Q12" s="575"/>
      <c r="R12" s="575"/>
      <c r="BF12" s="22" t="s">
        <v>150</v>
      </c>
      <c r="BG12" s="23">
        <f>((2*K13+BJ10)/((2*K13+BJ10+K20)+(1/((1/(K10+K11))+(1/K19)))))*K19/((K10+K11)+K19)</f>
        <v>4.9272950354279678E-3</v>
      </c>
      <c r="BH12" s="28">
        <f>BG12*BG21</f>
        <v>4.9272949368820689E-3</v>
      </c>
      <c r="BI12" s="22"/>
      <c r="BJ12" s="40"/>
      <c r="BL12" s="22" t="s">
        <v>168</v>
      </c>
      <c r="BM12" s="26">
        <f>1/((1/(((BM11/1000)/K9)*(K10+K11)/(1-((BM11/1000)/K9))))-(1/(K13+VLOOKUP(K8,Devices[],COLUMN(Devices[Single-Ended Input Resistance]),0))))</f>
        <v>62818.016207008724</v>
      </c>
      <c r="BN12" t="s">
        <v>127</v>
      </c>
      <c r="BO12" s="40">
        <f>BO11/((K10+K11)+BO11*(2*(K10+K11)/VLOOKUP(K8,Devices[],COLUMN(Devices[Differential Input Resistance]),0)))</f>
        <v>4.9513870182871364E-3</v>
      </c>
      <c r="BS12" s="20">
        <v>11.3</v>
      </c>
      <c r="BT12" s="17">
        <f>Table3[[#This Row],[R]]*10</f>
        <v>113</v>
      </c>
      <c r="BU12" s="18">
        <f>Table3[[#This Row],[R2]]*10</f>
        <v>1130</v>
      </c>
      <c r="BV12" s="18">
        <f>Table3[[#This Row],[R3]]*10</f>
        <v>11300</v>
      </c>
      <c r="BW12" s="18">
        <f>Table3[[#This Row],[R4]]*10</f>
        <v>113000</v>
      </c>
      <c r="BX12" s="18">
        <f>Table3[[#This Row],[R]]/10</f>
        <v>1.1300000000000001</v>
      </c>
      <c r="BY12" s="18">
        <f>Table3[[#This Row],[R6]]/10</f>
        <v>0.11300000000000002</v>
      </c>
      <c r="BZ12" s="18">
        <f>Table3[[#This Row],[R7]]/10</f>
        <v>1.1300000000000001E-2</v>
      </c>
      <c r="CA12" s="18">
        <f>Table3[[#This Row],[R8]]/10</f>
        <v>1.1300000000000001E-3</v>
      </c>
      <c r="CB12" s="18">
        <f>Table3[[#This Row],[R9]]/10</f>
        <v>1.1300000000000001E-4</v>
      </c>
    </row>
    <row r="13" spans="1:80" ht="15" customHeight="1" thickBot="1">
      <c r="B13" s="410"/>
      <c r="C13" s="410"/>
      <c r="D13" s="410"/>
      <c r="G13" s="547" t="s">
        <v>195</v>
      </c>
      <c r="H13" s="548"/>
      <c r="I13" s="548"/>
      <c r="J13" s="549"/>
      <c r="K13" s="593">
        <v>10</v>
      </c>
      <c r="L13" s="594"/>
      <c r="BF13" s="22" t="s">
        <v>93</v>
      </c>
      <c r="BG13" s="23">
        <f>((2*K13+BJ9)/((2*K13+BJ9+K20)+(1/((1/(K10+K11))+(1/K19)))))*K19/((K10+K11)+K19)</f>
        <v>4.9272414810792222E-3</v>
      </c>
      <c r="BH13" s="28">
        <f>BG13*BG22</f>
        <v>4.9272413651441317E-3</v>
      </c>
      <c r="BI13" s="22" t="s">
        <v>94</v>
      </c>
      <c r="BJ13" s="41">
        <f>IF(OR(K7="Differential without R3'",K7="Single-Ended"),BM24,(K9*BH12+BG19*K13)*1000)</f>
        <v>985.67565708498637</v>
      </c>
      <c r="BL13" s="22" t="s">
        <v>169</v>
      </c>
      <c r="BM13" s="36">
        <f>(BM12*VLOOKUP(K8,Devices[],COLUMN(Devices[Bias Current]),0))/1000</f>
        <v>0.21986305672453055</v>
      </c>
      <c r="BN13" t="s">
        <v>128</v>
      </c>
      <c r="BO13" s="36">
        <f>BO12*K9*1000</f>
        <v>990.27740365742727</v>
      </c>
      <c r="BS13" s="20">
        <v>11.5</v>
      </c>
      <c r="BT13" s="17">
        <f>Table3[[#This Row],[R]]*10</f>
        <v>115</v>
      </c>
      <c r="BU13" s="18">
        <f>Table3[[#This Row],[R2]]*10</f>
        <v>1150</v>
      </c>
      <c r="BV13" s="18">
        <f>Table3[[#This Row],[R3]]*10</f>
        <v>11500</v>
      </c>
      <c r="BW13" s="18">
        <f>Table3[[#This Row],[R4]]*10</f>
        <v>115000</v>
      </c>
      <c r="BX13" s="18">
        <f>Table3[[#This Row],[R]]/10</f>
        <v>1.1499999999999999</v>
      </c>
      <c r="BY13" s="18">
        <f>Table3[[#This Row],[R6]]/10</f>
        <v>0.11499999999999999</v>
      </c>
      <c r="BZ13" s="18">
        <f>Table3[[#This Row],[R7]]/10</f>
        <v>1.15E-2</v>
      </c>
      <c r="CA13" s="18">
        <f>Table3[[#This Row],[R8]]/10</f>
        <v>1.15E-3</v>
      </c>
      <c r="CB13" s="18">
        <f>Table3[[#This Row],[R9]]/10</f>
        <v>1.15E-4</v>
      </c>
    </row>
    <row r="14" spans="1:80" ht="15" customHeight="1" thickBot="1">
      <c r="B14" s="410"/>
      <c r="C14" s="410"/>
      <c r="D14" s="410"/>
      <c r="G14" s="547" t="s">
        <v>196</v>
      </c>
      <c r="H14" s="548"/>
      <c r="I14" s="548"/>
      <c r="J14" s="549"/>
      <c r="K14" s="597">
        <v>0.1</v>
      </c>
      <c r="L14" s="598"/>
      <c r="BF14" s="22" t="s">
        <v>102</v>
      </c>
      <c r="BG14" s="23">
        <f>((2*K13+BJ21)/((2*K13+BJ21+K20)+(1/((1/(K10+K11))+(1/K19)))))*K19/((K11+K10)+K19)</f>
        <v>4.9272411236967566E-3</v>
      </c>
      <c r="BH14" s="28">
        <f>BG14*BG23</f>
        <v>4.9272410076456235E-3</v>
      </c>
      <c r="BI14" s="22" t="s">
        <v>96</v>
      </c>
      <c r="BJ14" s="41">
        <f>IF(OR(K7="Differential without R3'",K7="Single-Ended"),BM35,(K9*BH13+BG19*K13)*1000)</f>
        <v>985.66494621500419</v>
      </c>
      <c r="BL14" s="22" t="s">
        <v>170</v>
      </c>
      <c r="BM14" s="36">
        <f>BM11-BM13</f>
        <v>999.78013694327547</v>
      </c>
      <c r="BN14" s="43" t="s">
        <v>118</v>
      </c>
      <c r="BO14" s="44">
        <f>BO13*BG21</f>
        <v>990.27738385187968</v>
      </c>
      <c r="BS14" s="45">
        <v>11.8</v>
      </c>
      <c r="BT14" s="17">
        <f>Table3[[#This Row],[R]]*10</f>
        <v>118</v>
      </c>
      <c r="BU14" s="18">
        <f>Table3[[#This Row],[R2]]*10</f>
        <v>1180</v>
      </c>
      <c r="BV14" s="18">
        <f>Table3[[#This Row],[R3]]*10</f>
        <v>11800</v>
      </c>
      <c r="BW14" s="18">
        <f>Table3[[#This Row],[R4]]*10</f>
        <v>118000</v>
      </c>
      <c r="BX14" s="18">
        <f>Table3[[#This Row],[R]]/10</f>
        <v>1.1800000000000002</v>
      </c>
      <c r="BY14" s="18">
        <f>Table3[[#This Row],[R6]]/10</f>
        <v>0.11800000000000002</v>
      </c>
      <c r="BZ14" s="18">
        <f>Table3[[#This Row],[R7]]/10</f>
        <v>1.1800000000000001E-2</v>
      </c>
      <c r="CA14" s="18">
        <f>Table3[[#This Row],[R8]]/10</f>
        <v>1.1800000000000001E-3</v>
      </c>
      <c r="CB14" s="18">
        <f>Table3[[#This Row],[R9]]/10</f>
        <v>1.1800000000000001E-4</v>
      </c>
    </row>
    <row r="15" spans="1:80" ht="15" customHeight="1" thickBot="1">
      <c r="B15" s="410"/>
      <c r="C15" s="410"/>
      <c r="D15" s="410"/>
      <c r="G15" s="547" t="s">
        <v>269</v>
      </c>
      <c r="H15" s="548"/>
      <c r="I15" s="548"/>
      <c r="J15" s="549"/>
      <c r="K15" s="587">
        <v>-40</v>
      </c>
      <c r="L15" s="588"/>
      <c r="N15" s="573" t="str">
        <f>IF(K15&lt;VLOOKUP(K8, Devices[], COLUMN(Devices[Temp Min]), 0), " Input exceeds recommended minimum operating  temperature.","")</f>
        <v/>
      </c>
      <c r="O15" s="573"/>
      <c r="P15" s="573"/>
      <c r="Q15" s="573"/>
      <c r="BF15" s="22" t="s">
        <v>92</v>
      </c>
      <c r="BG15" s="23">
        <f>((2*K13+BJ11)/((2*K13+BJ11+K20)+(1/((1/(K10+K11))+(1/K19)))))*K19/((K10+K11)+K19)</f>
        <v>4.9273346198255262E-3</v>
      </c>
      <c r="BH15" s="28">
        <f>BG15*BG24</f>
        <v>4.9273345341327513E-3</v>
      </c>
      <c r="BI15" s="22" t="s">
        <v>97</v>
      </c>
      <c r="BJ15" s="41">
        <f>IF(OR(K7="Differential without R3'",K7="Single-Ended"),BM29,(K9*BH15+BG19*K13)*1000)</f>
        <v>985.68357396464626</v>
      </c>
      <c r="BL15" s="22" t="s">
        <v>171</v>
      </c>
      <c r="BM15" s="26">
        <f>1/((1/(((BM14/1000)/K9)*(K10+K11)/(1-((BM14/1000)/K9))))-(1/(K13+VLOOKUP(K8,Devices[],COLUMN(Devices[Single-Ended Input Resistance]),0))))</f>
        <v>62804.134585691216</v>
      </c>
      <c r="BQ15" s="47"/>
      <c r="BR15" s="47"/>
      <c r="BS15" s="48">
        <v>12.1</v>
      </c>
      <c r="BT15" s="17">
        <f>Table3[[#This Row],[R]]*10</f>
        <v>121</v>
      </c>
      <c r="BU15" s="18">
        <f>Table3[[#This Row],[R2]]*10</f>
        <v>1210</v>
      </c>
      <c r="BV15" s="18">
        <f>Table3[[#This Row],[R3]]*10</f>
        <v>12100</v>
      </c>
      <c r="BW15" s="18">
        <f>Table3[[#This Row],[R4]]*10</f>
        <v>121000</v>
      </c>
      <c r="BX15" s="18">
        <f>Table3[[#This Row],[R]]/10</f>
        <v>1.21</v>
      </c>
      <c r="BY15" s="18">
        <f>Table3[[#This Row],[R6]]/10</f>
        <v>0.121</v>
      </c>
      <c r="BZ15" s="18">
        <f>Table3[[#This Row],[R7]]/10</f>
        <v>1.21E-2</v>
      </c>
      <c r="CA15" s="18">
        <f>Table3[[#This Row],[R8]]/10</f>
        <v>1.2099999999999999E-3</v>
      </c>
      <c r="CB15" s="18">
        <f>Table3[[#This Row],[R9]]/10</f>
        <v>1.2099999999999999E-4</v>
      </c>
    </row>
    <row r="16" spans="1:80" ht="15" customHeight="1" thickBot="1">
      <c r="B16" s="410"/>
      <c r="C16" s="410"/>
      <c r="D16" s="410"/>
      <c r="G16" s="556" t="s">
        <v>270</v>
      </c>
      <c r="H16" s="557"/>
      <c r="I16" s="557"/>
      <c r="J16" s="558"/>
      <c r="K16" s="589">
        <v>125</v>
      </c>
      <c r="L16" s="590"/>
      <c r="M16" s="39"/>
      <c r="N16" s="573" t="str">
        <f>IF(K16&gt;VLOOKUP(K8, Devices[], COLUMN(Devices[Temp Max]), 0), " Input exceeds recommended maximum operating temperature.", "")</f>
        <v/>
      </c>
      <c r="O16" s="573"/>
      <c r="P16" s="573"/>
      <c r="Q16" s="573"/>
      <c r="BF16" s="49" t="s">
        <v>105</v>
      </c>
      <c r="BG16" s="50">
        <f>((2*K13+BJ22)/((2*K13+BJ22+K20)+(1/((1/(K10+K11))+(1/K19)))))*K19/((K10+K11)+K19)</f>
        <v>4.9273348834600102E-3</v>
      </c>
      <c r="BH16" s="51">
        <f>BG16*BG25</f>
        <v>4.9273347978528387E-3</v>
      </c>
      <c r="BI16" s="22" t="s">
        <v>95</v>
      </c>
      <c r="BJ16" s="52">
        <f>ABS((BJ13-BJ13)/(BJ13))</f>
        <v>0</v>
      </c>
      <c r="BL16" s="22" t="s">
        <v>172</v>
      </c>
      <c r="BM16" s="36">
        <f>(BM15*VLOOKUP(K8,Devices[],COLUMN(Devices[Bias Current]),0))/1000</f>
        <v>0.21981447104991927</v>
      </c>
      <c r="BO16" s="53"/>
      <c r="BS16" s="54">
        <v>12.4</v>
      </c>
      <c r="BT16" s="17">
        <f>Table3[[#This Row],[R]]*10</f>
        <v>124</v>
      </c>
      <c r="BU16" s="18">
        <f>Table3[[#This Row],[R2]]*10</f>
        <v>1240</v>
      </c>
      <c r="BV16" s="18">
        <f>Table3[[#This Row],[R3]]*10</f>
        <v>12400</v>
      </c>
      <c r="BW16" s="18">
        <f>Table3[[#This Row],[R4]]*10</f>
        <v>124000</v>
      </c>
      <c r="BX16" s="18">
        <f>Table3[[#This Row],[R]]/10</f>
        <v>1.24</v>
      </c>
      <c r="BY16" s="18">
        <f>Table3[[#This Row],[R6]]/10</f>
        <v>0.124</v>
      </c>
      <c r="BZ16" s="18">
        <f>Table3[[#This Row],[R7]]/10</f>
        <v>1.24E-2</v>
      </c>
      <c r="CA16" s="18">
        <f>Table3[[#This Row],[R8]]/10</f>
        <v>1.24E-3</v>
      </c>
      <c r="CB16" s="18">
        <f>Table3[[#This Row],[R9]]/10</f>
        <v>1.2400000000000001E-4</v>
      </c>
    </row>
    <row r="17" spans="2:80" ht="15" customHeight="1" thickBot="1">
      <c r="B17" s="410"/>
      <c r="C17" s="410"/>
      <c r="D17" s="410"/>
      <c r="G17" s="547" t="s">
        <v>124</v>
      </c>
      <c r="H17" s="548"/>
      <c r="I17" s="548"/>
      <c r="J17" s="549"/>
      <c r="K17" s="591">
        <f>IF(OR(K8="[Select Device]",K7="[Select Configuration]")," ",IF(OR(K7="Differential without R3'",K7="Single-Ended"),BR9,((BG9*(K10+K11)))/(1-BG9-BG9*(2*(K10+K11))/(2*K13+BJ10))))</f>
        <v>62804.137653269667</v>
      </c>
      <c r="L17" s="592"/>
      <c r="M17" s="39"/>
      <c r="BF17" s="565" t="s">
        <v>162</v>
      </c>
      <c r="BG17" s="566"/>
      <c r="BI17" s="22" t="s">
        <v>99</v>
      </c>
      <c r="BJ17" s="52">
        <f>ABS((BJ14-BJ13)/(BJ13))</f>
        <v>1.0866525824379786E-5</v>
      </c>
      <c r="BL17" s="22" t="s">
        <v>173</v>
      </c>
      <c r="BM17" s="36">
        <f>BM11-BM16</f>
        <v>999.78018552895003</v>
      </c>
      <c r="BS17" s="54">
        <v>12.7</v>
      </c>
      <c r="BT17" s="17">
        <f>Table3[[#This Row],[R]]*10</f>
        <v>127</v>
      </c>
      <c r="BU17" s="18">
        <f>Table3[[#This Row],[R2]]*10</f>
        <v>1270</v>
      </c>
      <c r="BV17" s="18">
        <f>Table3[[#This Row],[R3]]*10</f>
        <v>12700</v>
      </c>
      <c r="BW17" s="18">
        <f>Table3[[#This Row],[R4]]*10</f>
        <v>127000</v>
      </c>
      <c r="BX17" s="18">
        <f>Table3[[#This Row],[R]]/10</f>
        <v>1.27</v>
      </c>
      <c r="BY17" s="18">
        <f>Table3[[#This Row],[R6]]/10</f>
        <v>0.127</v>
      </c>
      <c r="BZ17" s="18">
        <f>Table3[[#This Row],[R7]]/10</f>
        <v>1.2699999999999999E-2</v>
      </c>
      <c r="CA17" s="18">
        <f>Table3[[#This Row],[R8]]/10</f>
        <v>1.2699999999999999E-3</v>
      </c>
      <c r="CB17" s="18">
        <f>Table3[[#This Row],[R9]]/10</f>
        <v>1.27E-4</v>
      </c>
    </row>
    <row r="18" spans="2:80" ht="15" customHeight="1" thickBot="1">
      <c r="B18" s="410"/>
      <c r="C18" s="410"/>
      <c r="D18" s="410"/>
      <c r="G18" s="547" t="s">
        <v>125</v>
      </c>
      <c r="H18" s="548"/>
      <c r="I18" s="548"/>
      <c r="J18" s="549"/>
      <c r="K18" s="591">
        <f>IF(OR(K8="[Select Device]", K7="[Select Configuration]"), " ", IF(OR(K7 = "Differential without R3'",K7 = "Single-Ended"), 0,1/((1/(K10+K11))+(1/K17))))</f>
        <v>0</v>
      </c>
      <c r="L18" s="592"/>
      <c r="BF18" s="22" t="s">
        <v>113</v>
      </c>
      <c r="BG18" s="40">
        <f>K9/(K10+K11+(1/((1/K17)+(1/(2*K13+K18+BJ10)))))</f>
        <v>1.5920017585157634E-5</v>
      </c>
      <c r="BI18" s="22" t="s">
        <v>98</v>
      </c>
      <c r="BJ18" s="52">
        <f>ABS((BJ15-BJ13)/(BJ13))</f>
        <v>8.0319318053375132E-6</v>
      </c>
      <c r="BL18" s="22" t="s">
        <v>174</v>
      </c>
      <c r="BM18" s="26">
        <f>1/((1/(((BM17/1000)/K9)*(K10+K11)/(1-((BM17/1000)/K9))))-(1/(K13+VLOOKUP(K8,Devices[],COLUMN(Devices[Single-Ended Input Resistance]),0))))</f>
        <v>62804.137653269667</v>
      </c>
      <c r="BS18" s="54">
        <v>13</v>
      </c>
      <c r="BT18" s="17">
        <f>Table3[[#This Row],[R]]*10</f>
        <v>130</v>
      </c>
      <c r="BU18" s="18">
        <f>Table3[[#This Row],[R2]]*10</f>
        <v>1300</v>
      </c>
      <c r="BV18" s="18">
        <f>Table3[[#This Row],[R3]]*10</f>
        <v>13000</v>
      </c>
      <c r="BW18" s="18">
        <f>Table3[[#This Row],[R4]]*10</f>
        <v>130000</v>
      </c>
      <c r="BX18" s="18">
        <f>Table3[[#This Row],[R]]/10</f>
        <v>1.3</v>
      </c>
      <c r="BY18" s="18">
        <f>Table3[[#This Row],[R6]]/10</f>
        <v>0.13</v>
      </c>
      <c r="BZ18" s="18">
        <f>Table3[[#This Row],[R7]]/10</f>
        <v>1.3000000000000001E-2</v>
      </c>
      <c r="CA18" s="18">
        <f>Table3[[#This Row],[R8]]/10</f>
        <v>1.3000000000000002E-3</v>
      </c>
      <c r="CB18" s="18">
        <f>Table3[[#This Row],[R9]]/10</f>
        <v>1.3000000000000002E-4</v>
      </c>
    </row>
    <row r="19" spans="2:80" ht="15" customHeight="1" thickBot="1">
      <c r="B19" s="410"/>
      <c r="C19" s="410"/>
      <c r="D19" s="410"/>
      <c r="G19" s="547" t="s">
        <v>193</v>
      </c>
      <c r="H19" s="548"/>
      <c r="I19" s="548"/>
      <c r="J19" s="549"/>
      <c r="K19" s="559">
        <f>IF(OR(K8="[Select Device]",K7="[Select Configuration]")," ",IF(OR(K7="Differential without R3'",K7="Single-Ended"),BR10,BR10))</f>
        <v>61900</v>
      </c>
      <c r="L19" s="560"/>
      <c r="N19" s="494" t="s">
        <v>345</v>
      </c>
      <c r="O19" s="495"/>
      <c r="BF19" s="49" t="s">
        <v>114</v>
      </c>
      <c r="BG19" s="56">
        <f>BG18*K17/(2*K13+K18+BJ10)-VLOOKUP(K8, Devices[], COLUMN(Devices[Bias Current]))/1000000</f>
        <v>9.9984295586385466E-10</v>
      </c>
      <c r="BI19" s="49" t="s">
        <v>161</v>
      </c>
      <c r="BJ19" s="57">
        <f>MAX(BJ16:BJ18)</f>
        <v>1.0866525824379786E-5</v>
      </c>
      <c r="BL19" s="22" t="s">
        <v>175</v>
      </c>
      <c r="BM19" s="40">
        <f>BR10</f>
        <v>61900</v>
      </c>
      <c r="BS19" s="54">
        <v>13.3</v>
      </c>
      <c r="BT19" s="17">
        <f>Table3[[#This Row],[R]]*10</f>
        <v>133</v>
      </c>
      <c r="BU19" s="18">
        <f>Table3[[#This Row],[R2]]*10</f>
        <v>1330</v>
      </c>
      <c r="BV19" s="18">
        <f>Table3[[#This Row],[R3]]*10</f>
        <v>13300</v>
      </c>
      <c r="BW19" s="18">
        <f>Table3[[#This Row],[R4]]*10</f>
        <v>133000</v>
      </c>
      <c r="BX19" s="18">
        <f>Table3[[#This Row],[R]]/10</f>
        <v>1.33</v>
      </c>
      <c r="BY19" s="18">
        <f>Table3[[#This Row],[R6]]/10</f>
        <v>0.13300000000000001</v>
      </c>
      <c r="BZ19" s="18">
        <f>Table3[[#This Row],[R7]]/10</f>
        <v>1.3300000000000001E-2</v>
      </c>
      <c r="CA19" s="18">
        <f>Table3[[#This Row],[R8]]/10</f>
        <v>1.33E-3</v>
      </c>
      <c r="CB19" s="18">
        <f>Table3[[#This Row],[R9]]/10</f>
        <v>1.3300000000000001E-4</v>
      </c>
    </row>
    <row r="20" spans="2:80" ht="15" customHeight="1" thickBot="1">
      <c r="B20" s="410"/>
      <c r="C20" s="410"/>
      <c r="D20" s="410"/>
      <c r="G20" s="547" t="s">
        <v>194</v>
      </c>
      <c r="H20" s="548"/>
      <c r="I20" s="548"/>
      <c r="J20" s="549"/>
      <c r="K20" s="559">
        <f>IF(OR(K8="[Select Device]",K7="[Select Configuration]")," ",IF(OR(K7="Differential without R3'",K7="Single-Ended"),0,BR10))</f>
        <v>0</v>
      </c>
      <c r="L20" s="560"/>
      <c r="N20" s="42" t="s">
        <v>337</v>
      </c>
      <c r="O20" s="411">
        <f>G46</f>
        <v>1.0092826488161924E-3</v>
      </c>
      <c r="BF20" s="567" t="s">
        <v>159</v>
      </c>
      <c r="BG20" s="568"/>
      <c r="BI20" s="565" t="s">
        <v>156</v>
      </c>
      <c r="BJ20" s="566"/>
      <c r="BL20" s="22" t="s">
        <v>176</v>
      </c>
      <c r="BM20" s="36">
        <f>BM19*VLOOKUP(K8,Devices[],COLUMN(Devices[Bias Current]),0)/1000</f>
        <v>0.21665000000000001</v>
      </c>
      <c r="BS20" s="54">
        <v>13.7</v>
      </c>
      <c r="BT20" s="17">
        <f>Table3[[#This Row],[R]]*10</f>
        <v>137</v>
      </c>
      <c r="BU20" s="18">
        <f>Table3[[#This Row],[R2]]*10</f>
        <v>1370</v>
      </c>
      <c r="BV20" s="18">
        <f>Table3[[#This Row],[R3]]*10</f>
        <v>13700</v>
      </c>
      <c r="BW20" s="18">
        <f>Table3[[#This Row],[R4]]*10</f>
        <v>137000</v>
      </c>
      <c r="BX20" s="18">
        <f>Table3[[#This Row],[R]]/10</f>
        <v>1.3699999999999999</v>
      </c>
      <c r="BY20" s="18">
        <f>Table3[[#This Row],[R6]]/10</f>
        <v>0.13699999999999998</v>
      </c>
      <c r="BZ20" s="18">
        <f>Table3[[#This Row],[R7]]/10</f>
        <v>1.3699999999999999E-2</v>
      </c>
      <c r="CA20" s="18">
        <f>Table3[[#This Row],[R8]]/10</f>
        <v>1.3699999999999999E-3</v>
      </c>
      <c r="CB20" s="18">
        <f>Table3[[#This Row],[R9]]/10</f>
        <v>1.37E-4</v>
      </c>
    </row>
    <row r="21" spans="2:80" ht="15" customHeight="1" thickBot="1">
      <c r="B21" s="410"/>
      <c r="C21" s="410"/>
      <c r="D21" s="410"/>
      <c r="G21" s="547" t="s">
        <v>197</v>
      </c>
      <c r="H21" s="548"/>
      <c r="I21" s="548"/>
      <c r="J21" s="549"/>
      <c r="K21" s="552">
        <f>IF(OR(K8="[Select Device]",K7="[Select Configuration]")," ",IF(K7="Single-Ended",1/(2*3.14*K13*K14*0.000001),1/((2*3.14*2*K13*K14*0.000001))))</f>
        <v>159235.6687898089</v>
      </c>
      <c r="L21" s="553"/>
      <c r="N21" s="46" t="s">
        <v>332</v>
      </c>
      <c r="O21" s="412">
        <f>E46</f>
        <v>0.99460667697050997</v>
      </c>
      <c r="BF21" s="31" t="s">
        <v>150</v>
      </c>
      <c r="BG21" s="32">
        <f>(BJ10/(2*K13+BJ10))</f>
        <v>0.99999998000000045</v>
      </c>
      <c r="BI21" s="22">
        <f>1-Temp_Range*10^-6*G42</f>
        <v>0.999</v>
      </c>
      <c r="BJ21" s="40">
        <f>BJ9*BI21</f>
        <v>849150000</v>
      </c>
      <c r="BL21" s="22" t="s">
        <v>178</v>
      </c>
      <c r="BM21" s="26">
        <f>1/((1/$BM$19)+(1/($K$13+VLOOKUP($K$8,Devices[],COLUMN(Devices[Single-Ended Input Resistance]),0))))</f>
        <v>61896.168627200292</v>
      </c>
      <c r="BS21" s="54">
        <v>14</v>
      </c>
      <c r="BT21" s="17">
        <f>Table3[[#This Row],[R]]*10</f>
        <v>140</v>
      </c>
      <c r="BU21" s="18">
        <f>Table3[[#This Row],[R2]]*10</f>
        <v>1400</v>
      </c>
      <c r="BV21" s="18">
        <f>Table3[[#This Row],[R3]]*10</f>
        <v>14000</v>
      </c>
      <c r="BW21" s="18">
        <f>Table3[[#This Row],[R4]]*10</f>
        <v>140000</v>
      </c>
      <c r="BX21" s="18">
        <f>Table3[[#This Row],[R]]/10</f>
        <v>1.4</v>
      </c>
      <c r="BY21" s="18">
        <f>Table3[[#This Row],[R6]]/10</f>
        <v>0.13999999999999999</v>
      </c>
      <c r="BZ21" s="18">
        <f>Table3[[#This Row],[R7]]/10</f>
        <v>1.3999999999999999E-2</v>
      </c>
      <c r="CA21" s="18">
        <f>Table3[[#This Row],[R8]]/10</f>
        <v>1.3999999999999998E-3</v>
      </c>
      <c r="CB21" s="18">
        <f>Table3[[#This Row],[R9]]/10</f>
        <v>1.3999999999999999E-4</v>
      </c>
    </row>
    <row r="22" spans="2:80" ht="15" customHeight="1" thickBot="1">
      <c r="B22" s="410"/>
      <c r="C22" s="410"/>
      <c r="D22" s="410"/>
      <c r="G22" s="547" t="s">
        <v>38</v>
      </c>
      <c r="H22" s="548"/>
      <c r="I22" s="548"/>
      <c r="J22" s="549"/>
      <c r="K22" s="554">
        <f>IF(OR(K8="[Select Device]", K7="[Select Configuration]"), " ", ((K9)^2/(K10+K11+K17))*10^3)</f>
        <v>3.1840025174086648</v>
      </c>
      <c r="L22" s="555"/>
      <c r="N22" s="46" t="s">
        <v>338</v>
      </c>
      <c r="O22" s="413">
        <f>K46</f>
        <v>4.931369292418596E-3</v>
      </c>
      <c r="BF22" s="22" t="s">
        <v>93</v>
      </c>
      <c r="BG22" s="40">
        <f>(BJ9/(2*K13+BJ9))</f>
        <v>0.9999999764705888</v>
      </c>
      <c r="BI22" s="22">
        <f>1+Temp_Range*10^-6*G42</f>
        <v>1.0009999999999999</v>
      </c>
      <c r="BJ22" s="40">
        <f>BJ11*BI22</f>
        <v>1151149999.9999998</v>
      </c>
      <c r="BL22" s="22" t="s">
        <v>179</v>
      </c>
      <c r="BM22" s="40">
        <f>$K$9/($K$10+$K$11+$BM$21)</f>
        <v>1.5921163279433199E-5</v>
      </c>
      <c r="BS22" s="58">
        <v>14.3</v>
      </c>
      <c r="BT22" s="17">
        <f>Table3[[#This Row],[R]]*10</f>
        <v>143</v>
      </c>
      <c r="BU22" s="18">
        <f>Table3[[#This Row],[R2]]*10</f>
        <v>1430</v>
      </c>
      <c r="BV22" s="18">
        <f>Table3[[#This Row],[R3]]*10</f>
        <v>14300</v>
      </c>
      <c r="BW22" s="18">
        <f>Table3[[#This Row],[R4]]*10</f>
        <v>143000</v>
      </c>
      <c r="BX22" s="18">
        <f>Table3[[#This Row],[R]]/10</f>
        <v>1.4300000000000002</v>
      </c>
      <c r="BY22" s="18">
        <f>Table3[[#This Row],[R6]]/10</f>
        <v>0.14300000000000002</v>
      </c>
      <c r="BZ22" s="18">
        <f>Table3[[#This Row],[R7]]/10</f>
        <v>1.4300000000000002E-2</v>
      </c>
      <c r="CA22" s="18">
        <f>Table3[[#This Row],[R8]]/10</f>
        <v>1.4300000000000003E-3</v>
      </c>
      <c r="CB22" s="18">
        <f>Table3[[#This Row],[R9]]/10</f>
        <v>1.4300000000000003E-4</v>
      </c>
    </row>
    <row r="23" spans="2:80" ht="15" customHeight="1" thickBot="1">
      <c r="B23" s="578" t="s">
        <v>42</v>
      </c>
      <c r="C23" s="579"/>
      <c r="D23" s="410"/>
      <c r="G23" s="547" t="s">
        <v>199</v>
      </c>
      <c r="H23" s="548"/>
      <c r="I23" s="548"/>
      <c r="J23" s="549"/>
      <c r="K23" s="550">
        <f>IF(OR(K8="[Select Device]",K7="[Select Configuration]")," ",BJ15)</f>
        <v>985.68357396464626</v>
      </c>
      <c r="L23" s="551"/>
      <c r="N23" s="55" t="s">
        <v>339</v>
      </c>
      <c r="O23" s="414">
        <f>I46</f>
        <v>4.8596622864762207</v>
      </c>
      <c r="BF23" s="22" t="s">
        <v>102</v>
      </c>
      <c r="BG23" s="40">
        <f>(BJ21/(2*K13+BJ21))</f>
        <v>0.99999997644703587</v>
      </c>
      <c r="BI23" s="22"/>
      <c r="BJ23" s="40"/>
      <c r="BL23" s="22" t="s">
        <v>180</v>
      </c>
      <c r="BM23" s="36">
        <f>$BM$21*$BM$22*1000</f>
        <v>985.45900708498641</v>
      </c>
      <c r="BS23" s="48">
        <v>14.7</v>
      </c>
      <c r="BT23" s="17">
        <f>Table3[[#This Row],[R]]*10</f>
        <v>147</v>
      </c>
      <c r="BU23" s="18">
        <f>Table3[[#This Row],[R2]]*10</f>
        <v>1470</v>
      </c>
      <c r="BV23" s="18">
        <f>Table3[[#This Row],[R3]]*10</f>
        <v>14700</v>
      </c>
      <c r="BW23" s="18">
        <f>Table3[[#This Row],[R4]]*10</f>
        <v>147000</v>
      </c>
      <c r="BX23" s="18">
        <f>Table3[[#This Row],[R]]/10</f>
        <v>1.47</v>
      </c>
      <c r="BY23" s="18">
        <f>Table3[[#This Row],[R6]]/10</f>
        <v>0.14699999999999999</v>
      </c>
      <c r="BZ23" s="18">
        <f>Table3[[#This Row],[R7]]/10</f>
        <v>1.47E-2</v>
      </c>
      <c r="CA23" s="18">
        <f>Table3[[#This Row],[R8]]/10</f>
        <v>1.47E-3</v>
      </c>
      <c r="CB23" s="18">
        <f>Table3[[#This Row],[R9]]/10</f>
        <v>1.47E-4</v>
      </c>
    </row>
    <row r="24" spans="2:80" ht="15" customHeight="1" thickBot="1">
      <c r="B24" s="1" t="s">
        <v>43</v>
      </c>
      <c r="C24" s="6" t="s">
        <v>9</v>
      </c>
      <c r="D24" s="410"/>
      <c r="G24" s="547" t="s">
        <v>200</v>
      </c>
      <c r="H24" s="548"/>
      <c r="I24" s="548"/>
      <c r="J24" s="549"/>
      <c r="K24" s="550">
        <f>IF(OR(K8="[Select Device]",K7="[Select Configuration]")," ",BJ14)</f>
        <v>985.66494621500419</v>
      </c>
      <c r="L24" s="551"/>
      <c r="BF24" s="22" t="s">
        <v>92</v>
      </c>
      <c r="BG24" s="40">
        <f>(BJ11/(2*K13+BJ11))</f>
        <v>0.99999998260869594</v>
      </c>
      <c r="BI24" s="22" t="s">
        <v>103</v>
      </c>
      <c r="BJ24" s="41">
        <f>IF(OR(K7="Differential without R3'",K7="Single-Ended"),BM46,(BH14*K9+BG19*K13)*1000)</f>
        <v>985.66487473850941</v>
      </c>
      <c r="BL24" s="49" t="s">
        <v>181</v>
      </c>
      <c r="BM24" s="59">
        <f>$BM$23+$BM$20</f>
        <v>985.67565708498637</v>
      </c>
      <c r="BS24" s="54">
        <v>15</v>
      </c>
      <c r="BT24" s="17">
        <f>Table3[[#This Row],[R]]*10</f>
        <v>150</v>
      </c>
      <c r="BU24" s="18">
        <f>Table3[[#This Row],[R2]]*10</f>
        <v>1500</v>
      </c>
      <c r="BV24" s="18">
        <f>Table3[[#This Row],[R3]]*10</f>
        <v>15000</v>
      </c>
      <c r="BW24" s="18">
        <f>Table3[[#This Row],[R4]]*10</f>
        <v>150000</v>
      </c>
      <c r="BX24" s="18">
        <f>Table3[[#This Row],[R]]/10</f>
        <v>1.5</v>
      </c>
      <c r="BY24" s="18">
        <f>Table3[[#This Row],[R6]]/10</f>
        <v>0.15</v>
      </c>
      <c r="BZ24" s="18">
        <f>Table3[[#This Row],[R7]]/10</f>
        <v>1.4999999999999999E-2</v>
      </c>
      <c r="CA24" s="18">
        <f>Table3[[#This Row],[R8]]/10</f>
        <v>1.5E-3</v>
      </c>
      <c r="CB24" s="18">
        <f>Table3[[#This Row],[R9]]/10</f>
        <v>1.5000000000000001E-4</v>
      </c>
    </row>
    <row r="25" spans="2:80" ht="15" customHeight="1" thickBot="1">
      <c r="B25" s="1" t="s">
        <v>434</v>
      </c>
      <c r="C25" s="2" t="s">
        <v>9</v>
      </c>
      <c r="G25" s="547" t="s">
        <v>107</v>
      </c>
      <c r="H25" s="548"/>
      <c r="I25" s="548"/>
      <c r="J25" s="549"/>
      <c r="K25" s="550">
        <f>IF(OR(K8="[Select Device]",K7="[Select Configuration]")," ",BJ25)</f>
        <v>985.68362669154396</v>
      </c>
      <c r="L25" s="551"/>
      <c r="BF25" s="49" t="s">
        <v>105</v>
      </c>
      <c r="BG25" s="38">
        <f>(BJ22/(2*K13+BJ22))</f>
        <v>0.99999998262606993</v>
      </c>
      <c r="BI25" s="49" t="s">
        <v>106</v>
      </c>
      <c r="BJ25" s="41">
        <f>IF(OR(K7="Differential without R3'",K7="Single-Ended"),BM40,(BH16*K9+BG19*K13)*1000)</f>
        <v>985.68362669154396</v>
      </c>
      <c r="BL25" s="565" t="s">
        <v>142</v>
      </c>
      <c r="BM25" s="566"/>
      <c r="BS25" s="54">
        <v>15.4</v>
      </c>
      <c r="BT25" s="17">
        <f>Table3[[#This Row],[R]]*10</f>
        <v>154</v>
      </c>
      <c r="BU25" s="18">
        <f>Table3[[#This Row],[R2]]*10</f>
        <v>1540</v>
      </c>
      <c r="BV25" s="18">
        <f>Table3[[#This Row],[R3]]*10</f>
        <v>15400</v>
      </c>
      <c r="BW25" s="18">
        <f>Table3[[#This Row],[R4]]*10</f>
        <v>154000</v>
      </c>
      <c r="BX25" s="18">
        <f>Table3[[#This Row],[R]]/10</f>
        <v>1.54</v>
      </c>
      <c r="BY25" s="18">
        <f>Table3[[#This Row],[R6]]/10</f>
        <v>0.154</v>
      </c>
      <c r="BZ25" s="18">
        <f>Table3[[#This Row],[R7]]/10</f>
        <v>1.54E-2</v>
      </c>
      <c r="CA25" s="18">
        <f>Table3[[#This Row],[R8]]/10</f>
        <v>1.5400000000000001E-3</v>
      </c>
      <c r="CB25" s="18">
        <f>Table3[[#This Row],[R9]]/10</f>
        <v>1.54E-4</v>
      </c>
    </row>
    <row r="26" spans="2:80" ht="15" customHeight="1" thickBot="1">
      <c r="B26" s="1" t="s">
        <v>435</v>
      </c>
      <c r="C26" s="3" t="s">
        <v>9</v>
      </c>
      <c r="E26" s="60"/>
      <c r="G26" s="547" t="s">
        <v>104</v>
      </c>
      <c r="H26" s="548"/>
      <c r="I26" s="548"/>
      <c r="J26" s="549"/>
      <c r="K26" s="550">
        <f>IF(OR(K8="[Select Device]",K7="[Select Configuration]")," ",BJ24)</f>
        <v>985.66487473850941</v>
      </c>
      <c r="L26" s="551"/>
      <c r="BI26" s="565" t="s">
        <v>158</v>
      </c>
      <c r="BJ26" s="566"/>
      <c r="BL26" s="31" t="s">
        <v>120</v>
      </c>
      <c r="BM26" s="32">
        <f>1/((1/$BM$19)+(1/($K$13+BJ29)))</f>
        <v>61896.668344576341</v>
      </c>
      <c r="BS26" s="54">
        <v>15.8</v>
      </c>
      <c r="BT26" s="17">
        <f>Table3[[#This Row],[R]]*10</f>
        <v>158</v>
      </c>
      <c r="BU26" s="18">
        <f>Table3[[#This Row],[R2]]*10</f>
        <v>1580</v>
      </c>
      <c r="BV26" s="18">
        <f>Table3[[#This Row],[R3]]*10</f>
        <v>15800</v>
      </c>
      <c r="BW26" s="18">
        <f>Table3[[#This Row],[R4]]*10</f>
        <v>158000</v>
      </c>
      <c r="BX26" s="18">
        <f>Table3[[#This Row],[R]]/10</f>
        <v>1.58</v>
      </c>
      <c r="BY26" s="18">
        <f>Table3[[#This Row],[R6]]/10</f>
        <v>0.158</v>
      </c>
      <c r="BZ26" s="18">
        <f>Table3[[#This Row],[R7]]/10</f>
        <v>1.5800000000000002E-2</v>
      </c>
      <c r="CA26" s="18">
        <f>Table3[[#This Row],[R8]]/10</f>
        <v>1.5800000000000002E-3</v>
      </c>
      <c r="CB26" s="18">
        <f>Table3[[#This Row],[R9]]/10</f>
        <v>1.5800000000000002E-4</v>
      </c>
    </row>
    <row r="27" spans="2:80" ht="15" customHeight="1" thickBot="1">
      <c r="B27" s="4" t="s">
        <v>191</v>
      </c>
      <c r="C27" s="27" t="s">
        <v>9</v>
      </c>
      <c r="E27" s="61"/>
      <c r="G27" s="499" t="s">
        <v>328</v>
      </c>
      <c r="H27" s="500"/>
      <c r="I27" s="500"/>
      <c r="J27" s="501"/>
      <c r="K27" s="514">
        <f>IF(ISERROR(K9/(K10+K19)*1000000), "", K9/(K10+K19)*1000000)</f>
        <v>15.921158423486894</v>
      </c>
      <c r="L27" s="515"/>
      <c r="BI27" s="22" t="s">
        <v>145</v>
      </c>
      <c r="BJ27" s="40">
        <f>BJ28*0.85</f>
        <v>850000000</v>
      </c>
      <c r="BL27" s="22" t="s">
        <v>122</v>
      </c>
      <c r="BM27" s="40">
        <f>$K$9/($K$10+$K$11+$BM$26)</f>
        <v>1.5921162646082829E-5</v>
      </c>
      <c r="BS27" s="54">
        <v>16.2</v>
      </c>
      <c r="BT27" s="17">
        <f>Table3[[#This Row],[R]]*10</f>
        <v>162</v>
      </c>
      <c r="BU27" s="18">
        <f>Table3[[#This Row],[R2]]*10</f>
        <v>1620</v>
      </c>
      <c r="BV27" s="18">
        <f>Table3[[#This Row],[R3]]*10</f>
        <v>16200</v>
      </c>
      <c r="BW27" s="18">
        <f>Table3[[#This Row],[R4]]*10</f>
        <v>162000</v>
      </c>
      <c r="BX27" s="18">
        <f>Table3[[#This Row],[R]]/10</f>
        <v>1.6199999999999999</v>
      </c>
      <c r="BY27" s="18">
        <f>Table3[[#This Row],[R6]]/10</f>
        <v>0.16199999999999998</v>
      </c>
      <c r="BZ27" s="18">
        <f>Table3[[#This Row],[R7]]/10</f>
        <v>1.6199999999999999E-2</v>
      </c>
      <c r="CA27" s="18">
        <f>Table3[[#This Row],[R8]]/10</f>
        <v>1.6199999999999999E-3</v>
      </c>
      <c r="CB27" s="18">
        <f>Table3[[#This Row],[R9]]/10</f>
        <v>1.6199999999999998E-4</v>
      </c>
    </row>
    <row r="28" spans="2:80" ht="15" customHeight="1" thickBot="1">
      <c r="B28" s="5" t="s">
        <v>192</v>
      </c>
      <c r="C28" s="33" t="s">
        <v>9</v>
      </c>
      <c r="BI28" s="22" t="s">
        <v>146</v>
      </c>
      <c r="BJ28" s="40">
        <f>VLOOKUP($K$8,Devices[],COLUMN(Devices[Single-Ended Input Resistance]),0)</f>
        <v>1000000000</v>
      </c>
      <c r="BL28" s="22" t="s">
        <v>121</v>
      </c>
      <c r="BM28" s="36">
        <f>$BM$26*$BM$27*1000</f>
        <v>985.4669239646463</v>
      </c>
      <c r="BS28" s="54">
        <v>16.5</v>
      </c>
      <c r="BT28" s="17">
        <f>Table3[[#This Row],[R]]*10</f>
        <v>165</v>
      </c>
      <c r="BU28" s="18">
        <f>Table3[[#This Row],[R2]]*10</f>
        <v>1650</v>
      </c>
      <c r="BV28" s="18">
        <f>Table3[[#This Row],[R3]]*10</f>
        <v>16500</v>
      </c>
      <c r="BW28" s="18">
        <f>Table3[[#This Row],[R4]]*10</f>
        <v>165000</v>
      </c>
      <c r="BX28" s="18">
        <f>Table3[[#This Row],[R]]/10</f>
        <v>1.65</v>
      </c>
      <c r="BY28" s="18">
        <f>Table3[[#This Row],[R6]]/10</f>
        <v>0.16499999999999998</v>
      </c>
      <c r="BZ28" s="18">
        <f>Table3[[#This Row],[R7]]/10</f>
        <v>1.6499999999999997E-2</v>
      </c>
      <c r="CA28" s="18">
        <f>Table3[[#This Row],[R8]]/10</f>
        <v>1.6499999999999998E-3</v>
      </c>
      <c r="CB28" s="18">
        <f>Table3[[#This Row],[R9]]/10</f>
        <v>1.6499999999999997E-4</v>
      </c>
    </row>
    <row r="29" spans="2:80" ht="15" customHeight="1" thickBot="1">
      <c r="BF29" s="567" t="s">
        <v>190</v>
      </c>
      <c r="BG29" s="568"/>
      <c r="BI29" s="22" t="s">
        <v>147</v>
      </c>
      <c r="BJ29" s="40">
        <f>BJ28*1.15</f>
        <v>1150000000</v>
      </c>
      <c r="BL29" s="49" t="s">
        <v>123</v>
      </c>
      <c r="BM29" s="36">
        <f>$BM$28+$BM$20</f>
        <v>985.68357396464626</v>
      </c>
      <c r="BS29" s="54">
        <v>16.899999999999999</v>
      </c>
      <c r="BT29" s="17">
        <f>Table3[[#This Row],[R]]*10</f>
        <v>169</v>
      </c>
      <c r="BU29" s="18">
        <f>Table3[[#This Row],[R2]]*10</f>
        <v>1690</v>
      </c>
      <c r="BV29" s="18">
        <f>Table3[[#This Row],[R3]]*10</f>
        <v>16900</v>
      </c>
      <c r="BW29" s="18">
        <f>Table3[[#This Row],[R4]]*10</f>
        <v>169000</v>
      </c>
      <c r="BX29" s="18">
        <f>Table3[[#This Row],[R]]/10</f>
        <v>1.69</v>
      </c>
      <c r="BY29" s="18">
        <f>Table3[[#This Row],[R6]]/10</f>
        <v>0.16899999999999998</v>
      </c>
      <c r="BZ29" s="18">
        <f>Table3[[#This Row],[R7]]/10</f>
        <v>1.6899999999999998E-2</v>
      </c>
      <c r="CA29" s="18">
        <f>Table3[[#This Row],[R8]]/10</f>
        <v>1.6899999999999999E-3</v>
      </c>
      <c r="CB29" s="18">
        <f>Table3[[#This Row],[R9]]/10</f>
        <v>1.6899999999999999E-4</v>
      </c>
    </row>
    <row r="30" spans="2:80" ht="24.95" customHeight="1" thickBot="1">
      <c r="B30" s="517" t="str">
        <f>K8&amp;" Error Calculation Across Temperature (" &amp; K15 &amp; "°C to + " &amp; K16 &amp; "°C)"</f>
        <v>AMC3311-Q1 Error Calculation Across Temperature (-40°C to + 125°C)</v>
      </c>
      <c r="C30" s="518"/>
      <c r="D30" s="518"/>
      <c r="E30" s="518"/>
      <c r="F30" s="518"/>
      <c r="G30" s="518"/>
      <c r="H30" s="518"/>
      <c r="I30" s="518"/>
      <c r="J30" s="518"/>
      <c r="K30" s="518"/>
      <c r="L30" s="519"/>
      <c r="M30" s="417"/>
      <c r="N30" s="439" t="s">
        <v>112</v>
      </c>
      <c r="O30" s="439"/>
      <c r="P30" s="439"/>
      <c r="Q30" s="439"/>
      <c r="R30" s="439"/>
      <c r="S30" s="440"/>
      <c r="BF30" s="570">
        <f>E31*1.1</f>
        <v>2200</v>
      </c>
      <c r="BG30" s="571"/>
      <c r="BI30" s="22" t="s">
        <v>148</v>
      </c>
      <c r="BJ30" s="40">
        <f>BJ27*BI21</f>
        <v>849150000</v>
      </c>
      <c r="BL30" s="565" t="s">
        <v>141</v>
      </c>
      <c r="BM30" s="566"/>
      <c r="BS30" s="58">
        <v>17.399999999999999</v>
      </c>
      <c r="BT30" s="17">
        <f>Table3[[#This Row],[R]]*10</f>
        <v>174</v>
      </c>
      <c r="BU30" s="18">
        <f>Table3[[#This Row],[R2]]*10</f>
        <v>1740</v>
      </c>
      <c r="BV30" s="18">
        <f>Table3[[#This Row],[R3]]*10</f>
        <v>17400</v>
      </c>
      <c r="BW30" s="18">
        <f>Table3[[#This Row],[R4]]*10</f>
        <v>174000</v>
      </c>
      <c r="BX30" s="18">
        <f>Table3[[#This Row],[R]]/10</f>
        <v>1.7399999999999998</v>
      </c>
      <c r="BY30" s="18">
        <f>Table3[[#This Row],[R6]]/10</f>
        <v>0.17399999999999999</v>
      </c>
      <c r="BZ30" s="18">
        <f>Table3[[#This Row],[R7]]/10</f>
        <v>1.7399999999999999E-2</v>
      </c>
      <c r="CA30" s="18">
        <f>Table3[[#This Row],[R8]]/10</f>
        <v>1.7399999999999998E-3</v>
      </c>
      <c r="CB30" s="18">
        <f>Table3[[#This Row],[R9]]/10</f>
        <v>1.7399999999999997E-4</v>
      </c>
    </row>
    <row r="31" spans="2:80" ht="15" customHeight="1" thickBot="1">
      <c r="B31" s="534" t="s">
        <v>39</v>
      </c>
      <c r="C31" s="535"/>
      <c r="D31" s="535"/>
      <c r="E31" s="538">
        <f>IF(OR(K8="[Select Device]", K8=" "), " ", VLOOKUP(K8, Devices[], COLUMN(Devices[±Input Voltage Range]),0))</f>
        <v>2000</v>
      </c>
      <c r="F31" s="539"/>
      <c r="G31" s="508" t="s">
        <v>340</v>
      </c>
      <c r="H31" s="508"/>
      <c r="I31" s="511" t="s">
        <v>341</v>
      </c>
      <c r="J31" s="509"/>
      <c r="K31" s="508" t="s">
        <v>342</v>
      </c>
      <c r="L31" s="509"/>
      <c r="N31" s="418"/>
      <c r="S31" s="40"/>
      <c r="BF31" s="47"/>
      <c r="BG31" s="47"/>
      <c r="BI31" s="22"/>
      <c r="BJ31" s="40"/>
      <c r="BL31" s="62"/>
      <c r="BM31" s="63"/>
      <c r="BS31" s="64"/>
      <c r="BT31" s="65">
        <f>Table3[[#This Row],[R]]*10</f>
        <v>0</v>
      </c>
      <c r="BU31" s="18">
        <f>Table3[[#This Row],[R2]]*10</f>
        <v>0</v>
      </c>
      <c r="BV31" s="18">
        <f>Table3[[#This Row],[R3]]*10</f>
        <v>0</v>
      </c>
      <c r="BW31" s="18">
        <f>Table3[[#This Row],[R]]/10</f>
        <v>0</v>
      </c>
      <c r="BX31" s="18">
        <f>Table3[[#This Row],[R5]]/10</f>
        <v>0</v>
      </c>
      <c r="BY31" s="18">
        <f>Table3[[#This Row],[R6]]/10</f>
        <v>0</v>
      </c>
      <c r="BZ31" s="18">
        <f>Table3[[#This Row],[R7]]/10</f>
        <v>0</v>
      </c>
      <c r="CA31" s="18">
        <f>Table3[[#This Row],[R8]]/10</f>
        <v>0</v>
      </c>
      <c r="CB31" s="18">
        <f>Table3[[#This Row],[R9]]/10</f>
        <v>0</v>
      </c>
    </row>
    <row r="32" spans="2:80" ht="15" customHeight="1" thickBot="1">
      <c r="B32" s="536"/>
      <c r="C32" s="537"/>
      <c r="D32" s="537"/>
      <c r="E32" s="540"/>
      <c r="F32" s="541"/>
      <c r="G32" s="510">
        <f>IF(OR(K8="[Select Device]",K7="[Select Configuration]")," ",IF(OR(K7="Differential without R3'",K7="Single-Ended"),BM24,BJ13))</f>
        <v>985.67565708498637</v>
      </c>
      <c r="H32" s="510"/>
      <c r="I32" s="512">
        <f>IF(OR(K8="[Select Device]",K7="[Select Configuration]")," ",G32-K43/VLOOKUP(K8,Devices[],COLUMN(Devices[Gain]),0))</f>
        <v>985.45900708498641</v>
      </c>
      <c r="J32" s="513"/>
      <c r="K32" s="520">
        <f>IF(OR(K8="[Select Device]",K7="[Select Configuration]")," ",G32/1000*VLOOKUP(K8,Devices[],COLUMN(Devices[Gain]),0))</f>
        <v>0.98567565708498639</v>
      </c>
      <c r="L32" s="521"/>
      <c r="S32" s="40"/>
      <c r="BI32" s="49" t="s">
        <v>149</v>
      </c>
      <c r="BJ32" s="38">
        <f>BJ29*BI22</f>
        <v>1151149999.9999998</v>
      </c>
      <c r="BL32" s="31" t="s">
        <v>120</v>
      </c>
      <c r="BM32" s="32">
        <f>1/((1/$BM$19)+(1/($K$13+BJ27)))</f>
        <v>61895.492551830721</v>
      </c>
      <c r="BS32" s="48">
        <v>17.8</v>
      </c>
      <c r="BT32" s="17">
        <f>Table3[[#This Row],[R]]*10</f>
        <v>178</v>
      </c>
      <c r="BU32" s="18">
        <f>Table3[[#This Row],[R2]]*10</f>
        <v>1780</v>
      </c>
      <c r="BV32" s="18">
        <f>Table3[[#This Row],[R3]]*10</f>
        <v>17800</v>
      </c>
      <c r="BW32" s="18">
        <f>Table3[[#This Row],[R4]]*10</f>
        <v>178000</v>
      </c>
      <c r="BX32" s="18">
        <f>Table3[[#This Row],[R]]/10</f>
        <v>1.78</v>
      </c>
      <c r="BY32" s="18">
        <f>Table3[[#This Row],[R6]]/10</f>
        <v>0.17799999999999999</v>
      </c>
      <c r="BZ32" s="18">
        <f>Table3[[#This Row],[R7]]/10</f>
        <v>1.78E-2</v>
      </c>
      <c r="CA32" s="18">
        <f>Table3[[#This Row],[R8]]/10</f>
        <v>1.7799999999999999E-3</v>
      </c>
      <c r="CB32" s="18">
        <f>Table3[[#This Row],[R9]]/10</f>
        <v>1.7799999999999999E-4</v>
      </c>
    </row>
    <row r="33" spans="2:80" ht="20.100000000000001" customHeight="1" thickBot="1">
      <c r="B33" s="542" t="s">
        <v>0</v>
      </c>
      <c r="C33" s="543"/>
      <c r="D33" s="544"/>
      <c r="E33" s="502" t="s">
        <v>23</v>
      </c>
      <c r="F33" s="503"/>
      <c r="G33" s="502" t="s">
        <v>24</v>
      </c>
      <c r="H33" s="503"/>
      <c r="I33" s="502" t="s">
        <v>332</v>
      </c>
      <c r="J33" s="503"/>
      <c r="K33" s="502" t="s">
        <v>331</v>
      </c>
      <c r="L33" s="503"/>
      <c r="S33" s="40"/>
      <c r="BL33" s="22" t="s">
        <v>122</v>
      </c>
      <c r="BM33" s="40">
        <f>$K$9/($K$10+$K$11+$BM$32)</f>
        <v>1.5921164136302798E-5</v>
      </c>
      <c r="BS33" s="54">
        <v>18.2</v>
      </c>
      <c r="BT33" s="17">
        <f>Table3[[#This Row],[R]]*10</f>
        <v>182</v>
      </c>
      <c r="BU33" s="18">
        <f>Table3[[#This Row],[R2]]*10</f>
        <v>1820</v>
      </c>
      <c r="BV33" s="18">
        <f>Table3[[#This Row],[R3]]*10</f>
        <v>18200</v>
      </c>
      <c r="BW33" s="18">
        <f>Table3[[#This Row],[R4]]*10</f>
        <v>182000</v>
      </c>
      <c r="BX33" s="18">
        <f>Table3[[#This Row],[R]]/10</f>
        <v>1.8199999999999998</v>
      </c>
      <c r="BY33" s="18">
        <f>Table3[[#This Row],[R6]]/10</f>
        <v>0.182</v>
      </c>
      <c r="BZ33" s="18">
        <f>Table3[[#This Row],[R7]]/10</f>
        <v>1.8200000000000001E-2</v>
      </c>
      <c r="CA33" s="18">
        <f>Table3[[#This Row],[R8]]/10</f>
        <v>1.82E-3</v>
      </c>
      <c r="CB33" s="18">
        <f>Table3[[#This Row],[R9]]/10</f>
        <v>1.8200000000000001E-4</v>
      </c>
    </row>
    <row r="34" spans="2:80" ht="15" customHeight="1" thickBot="1">
      <c r="B34" s="523" t="s">
        <v>184</v>
      </c>
      <c r="C34" s="524"/>
      <c r="D34" s="525"/>
      <c r="E34" s="526">
        <f>IF(K7="[Select Configuration]", " ", IF(K8="[Select Device]", "  ", VLOOKUP(K8, Devices[], COLUMN(Devices[Gain Error Typ]), 0)))</f>
        <v>5.0000000000000001E-4</v>
      </c>
      <c r="F34" s="527"/>
      <c r="G34" s="526">
        <f>IF(K7="[Select Configuration]", " ", IF(K8="[Select Device]", " ", VLOOKUP(K8, Devices[], COLUMN(Devices[Gain Error Max]), 0)))</f>
        <v>2E-3</v>
      </c>
      <c r="H34" s="527"/>
      <c r="I34" s="504">
        <f>IF(OR(K8="[Select Device]", K7="[Select Configuration]")," ", (E34*K32)*1000)</f>
        <v>0.49283782854249319</v>
      </c>
      <c r="J34" s="516"/>
      <c r="K34" s="504">
        <f>IF(OR(K8="[Select Device]",K7="[Select Configuration]")," ",(G34*K32)*1000)</f>
        <v>1.9713513141699728</v>
      </c>
      <c r="L34" s="505"/>
      <c r="N34" s="524"/>
      <c r="O34" s="524"/>
      <c r="P34" s="524"/>
      <c r="Q34" s="524"/>
      <c r="R34" s="524"/>
      <c r="S34" s="599"/>
      <c r="BI34" s="565" t="s">
        <v>298</v>
      </c>
      <c r="BJ34" s="566"/>
      <c r="BL34" s="22" t="s">
        <v>121</v>
      </c>
      <c r="BM34" s="36">
        <f>$BM$32*$BM$33*1000</f>
        <v>985.44829621500423</v>
      </c>
      <c r="BS34" s="54">
        <v>18.7</v>
      </c>
      <c r="BT34" s="17">
        <f>Table3[[#This Row],[R]]*10</f>
        <v>187</v>
      </c>
      <c r="BU34" s="18">
        <f>Table3[[#This Row],[R2]]*10</f>
        <v>1870</v>
      </c>
      <c r="BV34" s="18">
        <f>Table3[[#This Row],[R3]]*10</f>
        <v>18700</v>
      </c>
      <c r="BW34" s="18">
        <f>Table3[[#This Row],[R4]]*10</f>
        <v>187000</v>
      </c>
      <c r="BX34" s="18">
        <f>Table3[[#This Row],[R]]/10</f>
        <v>1.8699999999999999</v>
      </c>
      <c r="BY34" s="18">
        <f>Table3[[#This Row],[R6]]/10</f>
        <v>0.187</v>
      </c>
      <c r="BZ34" s="18">
        <f>Table3[[#This Row],[R7]]/10</f>
        <v>1.8700000000000001E-2</v>
      </c>
      <c r="CA34" s="18">
        <f>Table3[[#This Row],[R8]]/10</f>
        <v>1.8700000000000001E-3</v>
      </c>
      <c r="CB34" s="18">
        <f>Table3[[#This Row],[R9]]/10</f>
        <v>1.8700000000000002E-4</v>
      </c>
    </row>
    <row r="35" spans="2:80" ht="15" customHeight="1" thickBot="1">
      <c r="B35" s="523" t="s">
        <v>185</v>
      </c>
      <c r="C35" s="524"/>
      <c r="D35" s="525"/>
      <c r="E35" s="528">
        <f>IF(OR(K8="[Select Device]", K7="[Select Configuration]"), " ", VLOOKUP(K8, Devices[], COLUMN(Devices[Gain Drift Typ]), 0))</f>
        <v>5</v>
      </c>
      <c r="F35" s="529"/>
      <c r="G35" s="528">
        <f>IF(OR(K8="[Select Device]", K7="[Select Configuration]"), " ", VLOOKUP(K8, Devices[], COLUMN(Devices[Gain Drift Max]), 0))</f>
        <v>40</v>
      </c>
      <c r="H35" s="529"/>
      <c r="I35" s="504">
        <f>IF(OR(K8="[Select Device]", K7="[Select Configuration]"), " ", Temp_Range*E35*10^-6*K32*1000)</f>
        <v>0.49283782854249319</v>
      </c>
      <c r="J35" s="516"/>
      <c r="K35" s="506">
        <f>IF(OR(K8="[Select Device]", K7="[Select Configuration]"), " ", Temp_Range*G35*10^-6*K32*1000)</f>
        <v>3.9427026283399456</v>
      </c>
      <c r="L35" s="507"/>
      <c r="N35" s="416" t="str">
        <f>"Temperature Drift from " &amp; K15 &amp; "°C to " &amp; K16 &amp; "°C calculated using box method as described in device datasheet"</f>
        <v>Temperature Drift from -40°C to 125°C calculated using box method as described in device datasheet</v>
      </c>
      <c r="O35" s="416"/>
      <c r="P35" s="416"/>
      <c r="Q35" s="416"/>
      <c r="R35" s="416"/>
      <c r="S35" s="419"/>
      <c r="BI35" s="24" t="s">
        <v>290</v>
      </c>
      <c r="BJ35" s="25">
        <f>BJ36*(1-E66/100)</f>
        <v>12500000</v>
      </c>
      <c r="BL35" s="49" t="s">
        <v>123</v>
      </c>
      <c r="BM35" s="36">
        <f>$BM$34+$BM$20</f>
        <v>985.66494621500419</v>
      </c>
      <c r="BS35" s="54">
        <v>19.100000000000001</v>
      </c>
      <c r="BT35" s="17">
        <f>Table3[[#This Row],[R]]*10</f>
        <v>191</v>
      </c>
      <c r="BU35" s="18">
        <f>Table3[[#This Row],[R2]]*10</f>
        <v>1910</v>
      </c>
      <c r="BV35" s="18">
        <f>Table3[[#This Row],[R3]]*10</f>
        <v>19100</v>
      </c>
      <c r="BW35" s="18">
        <f>Table3[[#This Row],[R4]]*10</f>
        <v>191000</v>
      </c>
      <c r="BX35" s="18">
        <f>Table3[[#This Row],[R]]/10</f>
        <v>1.9100000000000001</v>
      </c>
      <c r="BY35" s="18">
        <f>Table3[[#This Row],[R6]]/10</f>
        <v>0.191</v>
      </c>
      <c r="BZ35" s="18">
        <f>Table3[[#This Row],[R7]]/10</f>
        <v>1.9099999999999999E-2</v>
      </c>
      <c r="CA35" s="18">
        <f>Table3[[#This Row],[R8]]/10</f>
        <v>1.9099999999999998E-3</v>
      </c>
      <c r="CB35" s="18">
        <f>Table3[[#This Row],[R9]]/10</f>
        <v>1.9099999999999998E-4</v>
      </c>
    </row>
    <row r="36" spans="2:80" ht="15" customHeight="1" thickBot="1">
      <c r="B36" s="523" t="s">
        <v>186</v>
      </c>
      <c r="C36" s="524"/>
      <c r="D36" s="525"/>
      <c r="E36" s="530">
        <f>IF(OR(K8="[Select Device]", K7="[Select Configuration]"), " ", VLOOKUP(K8, Devices[], COLUMN(Devices[Offset Error Typ]), 0))</f>
        <v>0.1</v>
      </c>
      <c r="F36" s="531"/>
      <c r="G36" s="530">
        <f>IF(OR(K8="[Select Device]", K7="[Select Configuration]"), " ", VLOOKUP(K8, Devices[], COLUMN(Devices[Offset Error Max]), 0))</f>
        <v>1</v>
      </c>
      <c r="H36" s="531"/>
      <c r="I36" s="504">
        <f>IF(OR(K8="[Select Device]", K7="[Select Configuration]"), " ", E36*VLOOKUP(K8,Devices[],COLUMN(Devices[Gain]),0))</f>
        <v>0.1</v>
      </c>
      <c r="J36" s="516"/>
      <c r="K36" s="506">
        <f>IF(OR(K8="[Select Device]", K7="[Select Configuration]"), " ", G36*VLOOKUP(K8,Devices[],COLUMN(Devices[Gain]),0))</f>
        <v>1</v>
      </c>
      <c r="L36" s="507"/>
      <c r="M36" s="420"/>
      <c r="N36" s="416"/>
      <c r="O36" s="416"/>
      <c r="P36" s="416"/>
      <c r="Q36" s="416"/>
      <c r="R36" s="416"/>
      <c r="S36" s="419"/>
      <c r="BI36" s="34" t="s">
        <v>291</v>
      </c>
      <c r="BJ36" s="35">
        <f>IF(P34="[Select Configuration]"," ",IF(P35="[Select Device]","e in the User Inputs.  ",K10+K11))</f>
        <v>12500000</v>
      </c>
      <c r="BL36" s="565" t="s">
        <v>143</v>
      </c>
      <c r="BM36" s="566"/>
      <c r="BS36" s="54">
        <v>19.600000000000001</v>
      </c>
      <c r="BT36" s="17">
        <f>Table3[[#This Row],[R]]*10</f>
        <v>196</v>
      </c>
      <c r="BU36" s="18">
        <f>Table3[[#This Row],[R2]]*10</f>
        <v>1960</v>
      </c>
      <c r="BV36" s="18">
        <f>Table3[[#This Row],[R3]]*10</f>
        <v>19600</v>
      </c>
      <c r="BW36" s="18">
        <f>Table3[[#This Row],[R4]]*10</f>
        <v>196000</v>
      </c>
      <c r="BX36" s="18">
        <f>Table3[[#This Row],[R]]/10</f>
        <v>1.9600000000000002</v>
      </c>
      <c r="BY36" s="18">
        <f>Table3[[#This Row],[R6]]/10</f>
        <v>0.19600000000000001</v>
      </c>
      <c r="BZ36" s="18">
        <f>Table3[[#This Row],[R7]]/10</f>
        <v>1.9599999999999999E-2</v>
      </c>
      <c r="CA36" s="18">
        <f>Table3[[#This Row],[R8]]/10</f>
        <v>1.9599999999999999E-3</v>
      </c>
      <c r="CB36" s="18">
        <f>Table3[[#This Row],[R9]]/10</f>
        <v>1.9599999999999999E-4</v>
      </c>
    </row>
    <row r="37" spans="2:80" ht="15" customHeight="1" thickBot="1">
      <c r="B37" s="523" t="s">
        <v>187</v>
      </c>
      <c r="C37" s="524"/>
      <c r="D37" s="525"/>
      <c r="E37" s="545">
        <f>IF(OR(K8="[Select Device]", K7="[Select Configuration]"), " ", VLOOKUP(K8, Devices[], COLUMN(Devices[Offset Drift Typ]), 0))</f>
        <v>3</v>
      </c>
      <c r="F37" s="546"/>
      <c r="G37" s="545">
        <f>IF(OR(K8="[Select Device]", K7="[Select Configuration]"), " ", VLOOKUP(K8, Devices[], COLUMN(Devices[Offset Drift Max]), 0))</f>
        <v>10</v>
      </c>
      <c r="H37" s="546"/>
      <c r="I37" s="504">
        <f>IF(OR(K8="[Select Device]", K7="[Select Configuration]"), " ", Temp_Range*E37*10^-3*VLOOKUP(K8,Devices[],COLUMN(Devices[Gain]),0))</f>
        <v>0.3</v>
      </c>
      <c r="J37" s="516"/>
      <c r="K37" s="506">
        <f>IF(OR(K8="[Select Device]", K7="[Select Configuration]"), " ", Temp_Range*G37*10^-3*VLOOKUP(K8,Devices[],COLUMN(Devices[Gain]),0))</f>
        <v>1</v>
      </c>
      <c r="L37" s="507"/>
      <c r="N37" s="416" t="str">
        <f>"Temperature Drift from " &amp; K15 &amp; "°C to " &amp; K16 &amp; "°C calculated using box method as described in device datasheet"</f>
        <v>Temperature Drift from -40°C to 125°C calculated using box method as described in device datasheet</v>
      </c>
      <c r="O37" s="416"/>
      <c r="P37" s="416"/>
      <c r="Q37" s="416"/>
      <c r="R37" s="416"/>
      <c r="S37" s="419"/>
      <c r="BI37" s="34" t="s">
        <v>292</v>
      </c>
      <c r="BJ37" s="35">
        <f>BJ36*(1+E66/100)</f>
        <v>12500000</v>
      </c>
      <c r="BL37" s="31" t="s">
        <v>120</v>
      </c>
      <c r="BM37" s="32">
        <f>1/((1/$BM$19)+(1/($K$13+BJ32)))</f>
        <v>61896.671672724449</v>
      </c>
      <c r="BS37" s="54">
        <v>20</v>
      </c>
      <c r="BT37" s="17">
        <f>Table3[[#This Row],[R]]*10</f>
        <v>200</v>
      </c>
      <c r="BU37" s="18">
        <f>Table3[[#This Row],[R2]]*10</f>
        <v>2000</v>
      </c>
      <c r="BV37" s="18">
        <f>Table3[[#This Row],[R3]]*10</f>
        <v>20000</v>
      </c>
      <c r="BW37" s="18">
        <f>Table3[[#This Row],[R4]]*10</f>
        <v>200000</v>
      </c>
      <c r="BX37" s="18">
        <f>Table3[[#This Row],[R]]/10</f>
        <v>2</v>
      </c>
      <c r="BY37" s="18">
        <f>Table3[[#This Row],[R6]]/10</f>
        <v>0.2</v>
      </c>
      <c r="BZ37" s="18">
        <f>Table3[[#This Row],[R7]]/10</f>
        <v>0.02</v>
      </c>
      <c r="CA37" s="18">
        <f>Table3[[#This Row],[R8]]/10</f>
        <v>2E-3</v>
      </c>
      <c r="CB37" s="18">
        <f>Table3[[#This Row],[R9]]/10</f>
        <v>2.0000000000000001E-4</v>
      </c>
    </row>
    <row r="38" spans="2:80" ht="15" customHeight="1" thickBot="1">
      <c r="B38" s="523" t="s">
        <v>1</v>
      </c>
      <c r="C38" s="524"/>
      <c r="D38" s="525"/>
      <c r="E38" s="526">
        <f>IF(OR(K8="[Select Device]", K7="[Select Configuration]"), " ", VLOOKUP(K8, Devices[], COLUMN(Devices[INL Typ]), 0))</f>
        <v>1E-4</v>
      </c>
      <c r="F38" s="527"/>
      <c r="G38" s="526">
        <f>IF(OR(K8="[Select Device]", K7="[Select Configuration]"), " ", VLOOKUP(K8, Devices[], COLUMN(Devices[INL Max]), 0))</f>
        <v>2.0000000000000001E-4</v>
      </c>
      <c r="H38" s="527"/>
      <c r="I38" s="504">
        <f>IF(OR(K8="[Select Device]", K7="[Select Configuration]")," ", (E38*K32)*1000)</f>
        <v>9.8567565708498645E-2</v>
      </c>
      <c r="J38" s="516"/>
      <c r="K38" s="506">
        <f>IF(OR(K8="[Select Device]", K7="[Select Configuration]")," ",(G38*K32)*1000)</f>
        <v>0.19713513141699729</v>
      </c>
      <c r="L38" s="507"/>
      <c r="N38" s="416"/>
      <c r="O38" s="416"/>
      <c r="P38" s="416"/>
      <c r="Q38" s="416"/>
      <c r="R38" s="416"/>
      <c r="S38" s="419"/>
      <c r="BI38" s="608" t="s">
        <v>299</v>
      </c>
      <c r="BJ38" s="609"/>
      <c r="BL38" s="22" t="s">
        <v>122</v>
      </c>
      <c r="BM38" s="40">
        <f>$K$9/($K$10+$K$11+$BM$37)</f>
        <v>1.5921162641864676E-5</v>
      </c>
      <c r="BS38" s="54">
        <v>20.5</v>
      </c>
      <c r="BT38" s="17">
        <f>Table3[[#This Row],[R]]*10</f>
        <v>205</v>
      </c>
      <c r="BU38" s="18">
        <f>Table3[[#This Row],[R2]]*10</f>
        <v>2050</v>
      </c>
      <c r="BV38" s="18">
        <f>Table3[[#This Row],[R3]]*10</f>
        <v>20500</v>
      </c>
      <c r="BW38" s="18">
        <f>Table3[[#This Row],[R4]]*10</f>
        <v>205000</v>
      </c>
      <c r="BX38" s="18">
        <f>Table3[[#This Row],[R]]/10</f>
        <v>2.0499999999999998</v>
      </c>
      <c r="BY38" s="18">
        <f>Table3[[#This Row],[R6]]/10</f>
        <v>0.20499999999999999</v>
      </c>
      <c r="BZ38" s="18">
        <f>Table3[[#This Row],[R7]]/10</f>
        <v>2.0499999999999997E-2</v>
      </c>
      <c r="CA38" s="18">
        <f>Table3[[#This Row],[R8]]/10</f>
        <v>2.0499999999999997E-3</v>
      </c>
      <c r="CB38" s="18">
        <f>Table3[[#This Row],[R9]]/10</f>
        <v>2.0499999999999997E-4</v>
      </c>
    </row>
    <row r="39" spans="2:80" ht="15" customHeight="1" thickBot="1">
      <c r="B39" s="523" t="s">
        <v>2</v>
      </c>
      <c r="C39" s="524"/>
      <c r="D39" s="525"/>
      <c r="E39" s="528">
        <f>IF(OR(K8="[Select Device]", K7="[Select Configuration]"), " ", VLOOKUP(K8, Devices[], COLUMN(Devices[INL Drift Typ]), 0))</f>
        <v>1</v>
      </c>
      <c r="F39" s="529"/>
      <c r="G39" s="528">
        <f>IF(OR(K8="[Select Device]", K7="[Select Configuration]"), " ", VLOOKUP(K8, Devices[], COLUMN(Devices[INL Drift Max]), 0))</f>
        <v>3</v>
      </c>
      <c r="H39" s="529"/>
      <c r="I39" s="504">
        <f>IF(OR(K8="[Select Device]", K7="[Select Configuration]"), " ", Temp_Range*10^-6*K32*E39*1000)</f>
        <v>9.8567565708498631E-2</v>
      </c>
      <c r="J39" s="516"/>
      <c r="K39" s="506">
        <f>IF(OR(K8="[Select Device]", K7="[Select Configuration]"), " ", Temp_Range*10^-6*K32*G39*1000)</f>
        <v>0.29570269712549591</v>
      </c>
      <c r="L39" s="507"/>
      <c r="N39" s="416" t="str">
        <f>"Worst-Case Drift from " &amp; K15 &amp; "°C to " &amp; K16 &amp; "°C, Worst Case = 3 * Typical if no max in datasheet"</f>
        <v>Worst-Case Drift from -40°C to 125°C, Worst Case = 3 * Typical if no max in datasheet</v>
      </c>
      <c r="O39" s="416"/>
      <c r="P39" s="416"/>
      <c r="Q39" s="416"/>
      <c r="R39" s="416"/>
      <c r="S39" s="419"/>
      <c r="BI39" s="24">
        <f>1-Temp_Range*10^-6*E67</f>
        <v>1</v>
      </c>
      <c r="BJ39" s="25">
        <f>BI39*BJ35*(1-C73/100)</f>
        <v>12500000</v>
      </c>
      <c r="BL39" s="22" t="s">
        <v>121</v>
      </c>
      <c r="BM39" s="36">
        <f>$BM$37*$BM$38*1000</f>
        <v>985.46697669154401</v>
      </c>
      <c r="BS39" s="58">
        <v>21</v>
      </c>
      <c r="BT39" s="17">
        <f>Table3[[#This Row],[R]]*10</f>
        <v>210</v>
      </c>
      <c r="BU39" s="18">
        <f>Table3[[#This Row],[R2]]*10</f>
        <v>2100</v>
      </c>
      <c r="BV39" s="18">
        <f>Table3[[#This Row],[R3]]*10</f>
        <v>21000</v>
      </c>
      <c r="BW39" s="18">
        <f>Table3[[#This Row],[R4]]*10</f>
        <v>210000</v>
      </c>
      <c r="BX39" s="18">
        <f>Table3[[#This Row],[R]]/10</f>
        <v>2.1</v>
      </c>
      <c r="BY39" s="18">
        <f>Table3[[#This Row],[R6]]/10</f>
        <v>0.21000000000000002</v>
      </c>
      <c r="BZ39" s="18">
        <f>Table3[[#This Row],[R7]]/10</f>
        <v>2.1000000000000001E-2</v>
      </c>
      <c r="CA39" s="18">
        <f>Table3[[#This Row],[R8]]/10</f>
        <v>2.1000000000000003E-3</v>
      </c>
      <c r="CB39" s="18">
        <f>Table3[[#This Row],[R9]]/10</f>
        <v>2.1000000000000004E-4</v>
      </c>
    </row>
    <row r="40" spans="2:80" ht="15" customHeight="1" thickBot="1">
      <c r="B40" s="523" t="s">
        <v>188</v>
      </c>
      <c r="C40" s="524"/>
      <c r="D40" s="525"/>
      <c r="E40" s="528" t="s">
        <v>116</v>
      </c>
      <c r="F40" s="529"/>
      <c r="G40" s="528" t="s">
        <v>116</v>
      </c>
      <c r="H40" s="529"/>
      <c r="I40" s="506">
        <f>IF(OR(K8="[Select Device]",K7="[Select Configuration]")," ",I36*E34*VLOOKUP(K8,Devices[],COLUMN(Devices[Gain]),0)+I37*E34*VLOOKUP(K8,Devices[],COLUMN(Devices[Gain]),0))</f>
        <v>1.9999999999999998E-4</v>
      </c>
      <c r="J40" s="576"/>
      <c r="K40" s="506">
        <f>IF(OR(K8="[Select Device]", K7="[Select Configuration]"), " ", K36*G34*VLOOKUP(K8,Devices[],COLUMN(Devices[Gain]),0)+K37*G34*VLOOKUP(K8,Devices[],COLUMN(Devices[Gain]),0))</f>
        <v>4.0000000000000001E-3</v>
      </c>
      <c r="L40" s="507"/>
      <c r="N40" s="415" t="s">
        <v>117</v>
      </c>
      <c r="O40" s="415"/>
      <c r="P40" s="415"/>
      <c r="Q40" s="415"/>
      <c r="R40" s="415"/>
      <c r="S40" s="421"/>
      <c r="BI40" s="34">
        <f>1+Temp_Range*10^-6*E67</f>
        <v>1</v>
      </c>
      <c r="BJ40" s="35">
        <f>BI40*BJ37*(1+C73/100)</f>
        <v>12500000</v>
      </c>
      <c r="BL40" s="49" t="s">
        <v>123</v>
      </c>
      <c r="BM40" s="36">
        <f>$BM$39+$BM$20</f>
        <v>985.68362669154396</v>
      </c>
      <c r="BS40" s="48">
        <v>21.5</v>
      </c>
      <c r="BT40" s="17">
        <f>Table3[[#This Row],[R]]*10</f>
        <v>215</v>
      </c>
      <c r="BU40" s="18">
        <f>Table3[[#This Row],[R2]]*10</f>
        <v>2150</v>
      </c>
      <c r="BV40" s="18">
        <f>Table3[[#This Row],[R3]]*10</f>
        <v>21500</v>
      </c>
      <c r="BW40" s="18">
        <f>Table3[[#This Row],[R4]]*10</f>
        <v>215000</v>
      </c>
      <c r="BX40" s="18">
        <f>Table3[[#This Row],[R]]/10</f>
        <v>2.15</v>
      </c>
      <c r="BY40" s="18">
        <f>Table3[[#This Row],[R6]]/10</f>
        <v>0.215</v>
      </c>
      <c r="BZ40" s="18">
        <f>Table3[[#This Row],[R7]]/10</f>
        <v>2.1499999999999998E-2</v>
      </c>
      <c r="CA40" s="18">
        <f>Table3[[#This Row],[R8]]/10</f>
        <v>2.15E-3</v>
      </c>
      <c r="CB40" s="18">
        <f>Table3[[#This Row],[R9]]/10</f>
        <v>2.1499999999999999E-4</v>
      </c>
    </row>
    <row r="41" spans="2:80" ht="15" customHeight="1" thickBot="1">
      <c r="B41" s="523" t="s">
        <v>100</v>
      </c>
      <c r="C41" s="524"/>
      <c r="D41" s="525"/>
      <c r="E41" s="601">
        <f>IF(OR(K8="[Select Device]", K7="[Select Configuration]"), " ", G41/4)</f>
        <v>2.7166314560949466E-6</v>
      </c>
      <c r="F41" s="602"/>
      <c r="G41" s="601">
        <f>IF(OR(K8="[Select Device]", K7="[Select Configuration]"), " ", ABS(BJ19))</f>
        <v>1.0866525824379786E-5</v>
      </c>
      <c r="H41" s="602"/>
      <c r="I41" s="504">
        <f>IF(OR(K8="[Select Device]", K7="[Select Configuration]"), " ", E41*K32*1000)</f>
        <v>2.6777174955441301E-3</v>
      </c>
      <c r="J41" s="516"/>
      <c r="K41" s="506">
        <f>IF(OR(K8="[Select Device]", K7="[Select Configuration]"), " ", G41*K32*1000)</f>
        <v>1.071086998217652E-2</v>
      </c>
      <c r="L41" s="507"/>
      <c r="N41" s="415" t="s">
        <v>327</v>
      </c>
      <c r="O41" s="415"/>
      <c r="P41" s="415"/>
      <c r="Q41" s="415"/>
      <c r="R41" s="415"/>
      <c r="S41" s="421"/>
      <c r="BI41" s="565" t="s">
        <v>293</v>
      </c>
      <c r="BJ41" s="566"/>
      <c r="BL41" s="565" t="s">
        <v>144</v>
      </c>
      <c r="BM41" s="566"/>
      <c r="BS41" s="54">
        <v>22.1</v>
      </c>
      <c r="BT41" s="17">
        <f>Table3[[#This Row],[R]]*10</f>
        <v>221</v>
      </c>
      <c r="BU41" s="18">
        <f>Table3[[#This Row],[R2]]*10</f>
        <v>2210</v>
      </c>
      <c r="BV41" s="18">
        <f>Table3[[#This Row],[R3]]*10</f>
        <v>22100</v>
      </c>
      <c r="BW41" s="18">
        <f>Table3[[#This Row],[R4]]*10</f>
        <v>221000</v>
      </c>
      <c r="BX41" s="18">
        <f>Table3[[#This Row],[R]]/10</f>
        <v>2.21</v>
      </c>
      <c r="BY41" s="18">
        <f>Table3[[#This Row],[R6]]/10</f>
        <v>0.221</v>
      </c>
      <c r="BZ41" s="18">
        <f>Table3[[#This Row],[R7]]/10</f>
        <v>2.2100000000000002E-2</v>
      </c>
      <c r="CA41" s="18">
        <f>Table3[[#This Row],[R8]]/10</f>
        <v>2.2100000000000002E-3</v>
      </c>
      <c r="CB41" s="18">
        <f>Table3[[#This Row],[R9]]/10</f>
        <v>2.2100000000000001E-4</v>
      </c>
    </row>
    <row r="42" spans="2:80" ht="15" customHeight="1" thickBot="1">
      <c r="B42" s="523" t="s">
        <v>101</v>
      </c>
      <c r="C42" s="524"/>
      <c r="D42" s="525"/>
      <c r="E42" s="528">
        <f>IF(OR(K8="[Select Device]", K7="[Select Configuration]"), " ", 3)</f>
        <v>3</v>
      </c>
      <c r="F42" s="529"/>
      <c r="G42" s="528">
        <f>IF(OR(K8="[Select Device]", K7="[Select Configuration]"), " ", 10)</f>
        <v>10</v>
      </c>
      <c r="H42" s="529"/>
      <c r="I42" s="506">
        <f>IF(OR(K8="[Select Device]", K7="[Select Configuration]"), " ", K42/3)</f>
        <v>2.3825498260521272E-5</v>
      </c>
      <c r="J42" s="576"/>
      <c r="K42" s="506">
        <f>IF(OR(K8="[Select Device]", K7="[Select Configuration]"), " ", (K24-K26)*VLOOKUP(K8,Devices[],COLUMN(Devices[Gain]),0))</f>
        <v>7.1476494781563815E-5</v>
      </c>
      <c r="L42" s="507"/>
      <c r="N42" s="415" t="s">
        <v>326</v>
      </c>
      <c r="O42" s="415"/>
      <c r="P42" s="415"/>
      <c r="Q42" s="415"/>
      <c r="R42" s="415"/>
      <c r="S42" s="421"/>
      <c r="BI42" s="24" t="s">
        <v>295</v>
      </c>
      <c r="BJ42" s="25">
        <f>BJ43*(1-E68/100)</f>
        <v>61900</v>
      </c>
      <c r="BL42" s="31" t="s">
        <v>120</v>
      </c>
      <c r="BM42" s="32">
        <f>1/((1/$BM$19)+(1/($K$13+BJ30)))</f>
        <v>61895.488040199525</v>
      </c>
      <c r="BS42" s="54">
        <v>22.6</v>
      </c>
      <c r="BT42" s="17">
        <f>Table3[[#This Row],[R]]*10</f>
        <v>226</v>
      </c>
      <c r="BU42" s="18">
        <f>Table3[[#This Row],[R2]]*10</f>
        <v>2260</v>
      </c>
      <c r="BV42" s="18">
        <f>Table3[[#This Row],[R3]]*10</f>
        <v>22600</v>
      </c>
      <c r="BW42" s="18">
        <f>Table3[[#This Row],[R4]]*10</f>
        <v>226000</v>
      </c>
      <c r="BX42" s="18">
        <f>Table3[[#This Row],[R]]/10</f>
        <v>2.2600000000000002</v>
      </c>
      <c r="BY42" s="18">
        <f>Table3[[#This Row],[R6]]/10</f>
        <v>0.22600000000000003</v>
      </c>
      <c r="BZ42" s="18">
        <f>Table3[[#This Row],[R7]]/10</f>
        <v>2.2600000000000002E-2</v>
      </c>
      <c r="CA42" s="18">
        <f>Table3[[#This Row],[R8]]/10</f>
        <v>2.2600000000000003E-3</v>
      </c>
      <c r="CB42" s="18">
        <f>Table3[[#This Row],[R9]]/10</f>
        <v>2.2600000000000002E-4</v>
      </c>
    </row>
    <row r="43" spans="2:80" ht="15" customHeight="1" thickBot="1">
      <c r="B43" s="603" t="s">
        <v>189</v>
      </c>
      <c r="C43" s="604"/>
      <c r="D43" s="605"/>
      <c r="E43" s="528" t="s">
        <v>116</v>
      </c>
      <c r="F43" s="529"/>
      <c r="G43" s="528" t="s">
        <v>116</v>
      </c>
      <c r="H43" s="529"/>
      <c r="I43" s="506">
        <f>IF(OR(K8="[Select Device]", K7="[Select Configuration]"), " ", IF(OR(K7="Differential without R3'",K7="Single-Ended"),BM20*VLOOKUP(K8,Devices[],COLUMN(Devices[Gain]),0),0))</f>
        <v>0.21665000000000001</v>
      </c>
      <c r="J43" s="576"/>
      <c r="K43" s="506">
        <f>IF(OR(K8="[Select Device]", K7="[Select Configuration]"), " ", IF(OR(K7="Differential without R3'",K7="Single-Ended"),BM20*VLOOKUP(K8,Devices[],COLUMN(Devices[Gain]),0),0))</f>
        <v>0.21665000000000001</v>
      </c>
      <c r="L43" s="507"/>
      <c r="N43" s="415" t="s">
        <v>525</v>
      </c>
      <c r="O43" s="415"/>
      <c r="P43" s="415"/>
      <c r="Q43" s="415"/>
      <c r="R43" s="415"/>
      <c r="S43" s="421"/>
      <c r="BI43" s="34" t="s">
        <v>296</v>
      </c>
      <c r="BJ43" s="35">
        <f>IF(P37="[Select Configuration]"," ",IF(P38="[Select Device]","e in the User Inputs.  ",K19))</f>
        <v>61900</v>
      </c>
      <c r="BL43" s="22" t="s">
        <v>122</v>
      </c>
      <c r="BM43" s="40">
        <f>$K$9/($K$10+$K$11+$BM$42)</f>
        <v>1.5921164142020921E-5</v>
      </c>
      <c r="BS43" s="54">
        <v>23.2</v>
      </c>
      <c r="BT43" s="17">
        <f>Table3[[#This Row],[R]]*10</f>
        <v>232</v>
      </c>
      <c r="BU43" s="18">
        <f>Table3[[#This Row],[R2]]*10</f>
        <v>2320</v>
      </c>
      <c r="BV43" s="18">
        <f>Table3[[#This Row],[R3]]*10</f>
        <v>23200</v>
      </c>
      <c r="BW43" s="18">
        <f>Table3[[#This Row],[R4]]*10</f>
        <v>232000</v>
      </c>
      <c r="BX43" s="18">
        <f>Table3[[#This Row],[R]]/10</f>
        <v>2.3199999999999998</v>
      </c>
      <c r="BY43" s="18">
        <f>Table3[[#This Row],[R6]]/10</f>
        <v>0.23199999999999998</v>
      </c>
      <c r="BZ43" s="18">
        <f>Table3[[#This Row],[R7]]/10</f>
        <v>2.3199999999999998E-2</v>
      </c>
      <c r="CA43" s="18">
        <f>Table3[[#This Row],[R8]]/10</f>
        <v>2.32E-3</v>
      </c>
      <c r="CB43" s="18">
        <f>Table3[[#This Row],[R9]]/10</f>
        <v>2.32E-4</v>
      </c>
    </row>
    <row r="44" spans="2:80" ht="15.75" hidden="1" customHeight="1" thickBot="1">
      <c r="B44" s="66" t="s">
        <v>329</v>
      </c>
      <c r="C44" s="67">
        <v>1E-3</v>
      </c>
      <c r="D44" s="67">
        <v>0.03</v>
      </c>
      <c r="E44" s="68">
        <f>0*(C44/1000*(300000-300000*-1.002))*VLOOKUP(K8,Devices[],COLUMN(Devices[Gain]),0)</f>
        <v>0</v>
      </c>
      <c r="F44" s="69">
        <f>0*(D44/1000*(300000-300000*-1.002))*VLOOKUP(K8,Devices[],COLUMN(Devices[Gain]),0)</f>
        <v>0</v>
      </c>
      <c r="G44" s="70" t="s">
        <v>330</v>
      </c>
      <c r="H44" s="71"/>
      <c r="I44" s="71"/>
      <c r="J44" s="71"/>
      <c r="K44" s="71"/>
      <c r="L44" s="72"/>
      <c r="S44" s="40"/>
      <c r="BI44" s="34"/>
      <c r="BJ44" s="35"/>
      <c r="BL44" s="22"/>
      <c r="BM44" s="40"/>
      <c r="BS44" s="73"/>
      <c r="BT44" s="74">
        <f>Table3[[#This Row],[R]]*10</f>
        <v>0</v>
      </c>
      <c r="BU44" s="75">
        <f>Table3[[#This Row],[R2]]*10</f>
        <v>0</v>
      </c>
      <c r="BV44" s="75">
        <f>Table3[[#This Row],[R3]]*10</f>
        <v>0</v>
      </c>
      <c r="BW44" s="75">
        <f>Table3[[#This Row],[R]]/10</f>
        <v>0</v>
      </c>
      <c r="BX44" s="75">
        <f>Table3[[#This Row],[R5]]/10</f>
        <v>0</v>
      </c>
      <c r="BY44" s="75">
        <f>Table3[[#This Row],[R6]]/10</f>
        <v>0</v>
      </c>
      <c r="BZ44" s="75">
        <f>Table3[[#This Row],[R7]]/10</f>
        <v>0</v>
      </c>
      <c r="CA44" s="75">
        <f>Table3[[#This Row],[R8]]/10</f>
        <v>0</v>
      </c>
      <c r="CB44" s="75">
        <f>Table3[[#This Row],[R9]]/10</f>
        <v>0</v>
      </c>
    </row>
    <row r="45" spans="2:80" ht="20.100000000000001" customHeight="1" thickBot="1">
      <c r="B45" s="76" t="s">
        <v>20</v>
      </c>
      <c r="C45" s="77"/>
      <c r="D45" s="77"/>
      <c r="E45" s="449" t="s">
        <v>332</v>
      </c>
      <c r="F45" s="450"/>
      <c r="G45" s="467" t="s">
        <v>337</v>
      </c>
      <c r="H45" s="467"/>
      <c r="I45" s="449" t="s">
        <v>331</v>
      </c>
      <c r="J45" s="450"/>
      <c r="K45" s="449" t="s">
        <v>331</v>
      </c>
      <c r="L45" s="467"/>
      <c r="M45" s="449" t="s">
        <v>339</v>
      </c>
      <c r="N45" s="450"/>
      <c r="O45" s="449" t="s">
        <v>338</v>
      </c>
      <c r="P45" s="450"/>
      <c r="S45" s="40"/>
      <c r="BI45" s="34" t="s">
        <v>297</v>
      </c>
      <c r="BJ45" s="35">
        <f>BJ43*(1+E68/100)</f>
        <v>61900</v>
      </c>
      <c r="BL45" s="22" t="s">
        <v>121</v>
      </c>
      <c r="BM45" s="36">
        <f>$BM$42*$BM$43*1000</f>
        <v>985.44822473850945</v>
      </c>
      <c r="BS45" s="54">
        <v>23.7</v>
      </c>
      <c r="BT45" s="17">
        <f>Table3[[#This Row],[R]]*10</f>
        <v>237</v>
      </c>
      <c r="BU45" s="18">
        <f>Table3[[#This Row],[R2]]*10</f>
        <v>2370</v>
      </c>
      <c r="BV45" s="18">
        <f>Table3[[#This Row],[R3]]*10</f>
        <v>23700</v>
      </c>
      <c r="BW45" s="18">
        <f>Table3[[#This Row],[R4]]*10</f>
        <v>237000</v>
      </c>
      <c r="BX45" s="18">
        <f>Table3[[#This Row],[R]]/10</f>
        <v>2.37</v>
      </c>
      <c r="BY45" s="18">
        <f>Table3[[#This Row],[R6]]/10</f>
        <v>0.23700000000000002</v>
      </c>
      <c r="BZ45" s="18">
        <f>Table3[[#This Row],[R7]]/10</f>
        <v>2.3700000000000002E-2</v>
      </c>
      <c r="CA45" s="18">
        <f>Table3[[#This Row],[R8]]/10</f>
        <v>2.3700000000000001E-3</v>
      </c>
      <c r="CB45" s="18">
        <f>Table3[[#This Row],[R9]]/10</f>
        <v>2.3700000000000001E-4</v>
      </c>
    </row>
    <row r="46" spans="2:80" ht="15" customHeight="1" thickBot="1">
      <c r="B46" s="394" t="s">
        <v>333</v>
      </c>
      <c r="C46" s="395"/>
      <c r="D46" s="395"/>
      <c r="E46" s="451">
        <f>IF(OR(K7="[Select Configuration]", K8="[Select Device]", K8=" "), " ",(SQRT(SUMSQ(I34:I42,E44)))+I43)</f>
        <v>0.99460667697050997</v>
      </c>
      <c r="F46" s="452"/>
      <c r="G46" s="462">
        <f>IF(OR(K7="[Select Configuration]", $K$8="[Select Device]", K8=" "), " ", E46/1000/($K$32-$I$43/1000))</f>
        <v>1.0092826488161924E-3</v>
      </c>
      <c r="H46" s="462"/>
      <c r="I46" s="451">
        <f>IF(OR(K7="[Select Configuration]", K8="[Select Device]", K8=" "), " ",(SQRT(SUMSQ(K34:L42,F44)))+K43)</f>
        <v>4.8596622864762207</v>
      </c>
      <c r="J46" s="452"/>
      <c r="K46" s="461">
        <f>IF(OR($K$7="[Select Configuration]", $K$8="[Select Device]", $K$8=" "), " ",I46/1000/($K$32-$K$43/1000))</f>
        <v>4.931369292418596E-3</v>
      </c>
      <c r="L46" s="462"/>
      <c r="M46" s="451">
        <f>IF(OR(K7="[Select Configuration]", K8="[Select Device]", K8=" "), " ",((SUM(K34:L42,F44)))+K43)</f>
        <v>8.6383241175293684</v>
      </c>
      <c r="N46" s="452"/>
      <c r="O46" s="453">
        <f>IF(OR(K7="[Select Configuration]", K8="[Select Device]", K8=" "), " ",M46/1000/($K$32-$K$43/1000))</f>
        <v>8.7657873695647249E-3</v>
      </c>
      <c r="P46" s="454"/>
      <c r="Q46" s="416"/>
      <c r="R46" s="393" t="s">
        <v>111</v>
      </c>
      <c r="S46" s="419"/>
      <c r="BI46" s="608" t="s">
        <v>300</v>
      </c>
      <c r="BJ46" s="609"/>
      <c r="BL46" s="49" t="s">
        <v>123</v>
      </c>
      <c r="BM46" s="44">
        <f>$BM$45+$BM$20</f>
        <v>985.66487473850941</v>
      </c>
      <c r="BS46" s="54">
        <v>24.3</v>
      </c>
      <c r="BT46" s="17">
        <f>Table3[[#This Row],[R]]*10</f>
        <v>243</v>
      </c>
      <c r="BU46" s="18">
        <f>Table3[[#This Row],[R2]]*10</f>
        <v>2430</v>
      </c>
      <c r="BV46" s="18">
        <f>Table3[[#This Row],[R3]]*10</f>
        <v>24300</v>
      </c>
      <c r="BW46" s="18">
        <f>Table3[[#This Row],[R4]]*10</f>
        <v>243000</v>
      </c>
      <c r="BX46" s="18">
        <f>Table3[[#This Row],[R]]/10</f>
        <v>2.4300000000000002</v>
      </c>
      <c r="BY46" s="18">
        <f>Table3[[#This Row],[R6]]/10</f>
        <v>0.24300000000000002</v>
      </c>
      <c r="BZ46" s="18">
        <f>Table3[[#This Row],[R7]]/10</f>
        <v>2.4300000000000002E-2</v>
      </c>
      <c r="CA46" s="18">
        <f>Table3[[#This Row],[R8]]/10</f>
        <v>2.4300000000000003E-3</v>
      </c>
      <c r="CB46" s="18">
        <f>Table3[[#This Row],[R9]]/10</f>
        <v>2.4300000000000002E-4</v>
      </c>
    </row>
    <row r="47" spans="2:80" ht="15" customHeight="1" thickBot="1">
      <c r="B47" s="78" t="s">
        <v>334</v>
      </c>
      <c r="C47" s="79"/>
      <c r="D47" s="79"/>
      <c r="E47" s="451">
        <f>IF(OR(K7="[Select Configuration]", K8="[Select Device]", K8=" "), " ",SQRT(SUMSQ(I34,I35,I37,I38,I39,I41,I42)))</f>
        <v>0.7715027875795385</v>
      </c>
      <c r="F47" s="452"/>
      <c r="G47" s="462">
        <f>IF(OR(K8="[Select Configuration]", $K$8="[Select Device]", K9=" "), " ", E47/1000/($K$32-$I$43/1000))</f>
        <v>7.8288673809138337E-4</v>
      </c>
      <c r="H47" s="462"/>
      <c r="I47" s="451">
        <f>IF(OR(K7="[Select Configuration]",K8="[Select Device]",K8=" ")," ",SQRT(SUMSQ(K34,K35,K37,K38,K39,K41,K42)))</f>
        <v>4.5340431286401701</v>
      </c>
      <c r="J47" s="452"/>
      <c r="K47" s="461">
        <f>IF(OR($K$7="[Select Configuration]", $K$8="[Select Device]", $K$8=" "), " ",I47/1000/($K$32-$K$43/1000))</f>
        <v>4.6009454437399575E-3</v>
      </c>
      <c r="L47" s="462"/>
      <c r="M47" s="451">
        <f>IF(OR(K7="[Select Configuration]",K8="[Select Device]",K8=" ")," ",(SUM(K34,K35,K37,K38,K39,K41,K42)))</f>
        <v>7.4176741175293692</v>
      </c>
      <c r="N47" s="452"/>
      <c r="O47" s="453">
        <f>IF(OR(K7="[Select Configuration]",K8="[Select Device]",K8=" ")," ",M47/1000/($K$32-$K$43/1000))</f>
        <v>7.5271260034154479E-3</v>
      </c>
      <c r="P47" s="454"/>
      <c r="Q47" s="415"/>
      <c r="R47" s="393" t="s">
        <v>526</v>
      </c>
      <c r="S47" s="421"/>
      <c r="BI47" s="24">
        <f>1-Temp_Range*10^-6*E69</f>
        <v>1</v>
      </c>
      <c r="BJ47" s="25">
        <f>BI47*BJ42*(1-C76/100)</f>
        <v>61900</v>
      </c>
      <c r="BS47" s="54">
        <v>24.9</v>
      </c>
      <c r="BT47" s="17">
        <f>Table3[[#This Row],[R]]*10</f>
        <v>249</v>
      </c>
      <c r="BU47" s="18">
        <f>Table3[[#This Row],[R2]]*10</f>
        <v>2490</v>
      </c>
      <c r="BV47" s="18">
        <f>Table3[[#This Row],[R3]]*10</f>
        <v>24900</v>
      </c>
      <c r="BW47" s="18">
        <f>Table3[[#This Row],[R4]]*10</f>
        <v>249000</v>
      </c>
      <c r="BX47" s="18">
        <f>Table3[[#This Row],[R]]/10</f>
        <v>2.4899999999999998</v>
      </c>
      <c r="BY47" s="18">
        <f>Table3[[#This Row],[R6]]/10</f>
        <v>0.24899999999999997</v>
      </c>
      <c r="BZ47" s="18">
        <f>Table3[[#This Row],[R7]]/10</f>
        <v>2.4899999999999999E-2</v>
      </c>
      <c r="CA47" s="18">
        <f>Table3[[#This Row],[R8]]/10</f>
        <v>2.49E-3</v>
      </c>
      <c r="CB47" s="18">
        <f>Table3[[#This Row],[R9]]/10</f>
        <v>2.4899999999999998E-4</v>
      </c>
    </row>
    <row r="48" spans="2:80" ht="15" customHeight="1" thickBot="1">
      <c r="B48" s="78" t="s">
        <v>335</v>
      </c>
      <c r="C48" s="79"/>
      <c r="D48" s="79"/>
      <c r="E48" s="451">
        <f>IF(OR(K7="[Select Configuration]", K8="[Select Device]", K8=" "), " ",SQRT(SUMSQ(I35,I37,I38,I39,I42)))</f>
        <v>0.59356571315190765</v>
      </c>
      <c r="F48" s="452"/>
      <c r="G48" s="462">
        <f>IF(OR(K9="[Select Configuration]", $K$8="[Select Device]", K10=" "), " ", E48/1000/($K$32-$I$43/1000))</f>
        <v>6.0232410367600236E-4</v>
      </c>
      <c r="H48" s="462"/>
      <c r="I48" s="451">
        <f>IF(OR(K7="[Select Configuration]", K8="[Select Device]", K8=" "), " ",SQRT(SUMSQ(K35,K37,K38,K39,K42)))</f>
        <v>4.0830388641003275</v>
      </c>
      <c r="J48" s="452"/>
      <c r="K48" s="461">
        <f>IF(OR($K$7="[Select Configuration]", $K$8="[Select Device]", $K$8=" "), " ",I48/1000/($K$32-$K$43/1000))</f>
        <v>4.1432863617311324E-3</v>
      </c>
      <c r="L48" s="462"/>
      <c r="M48" s="451">
        <f>IF(OR(K7="[Select Configuration]", K8="[Select Device]", K8=" "), " ",(SUM(K35,K37,K38,K39,K42)))</f>
        <v>5.4356119333772206</v>
      </c>
      <c r="N48" s="452"/>
      <c r="O48" s="453">
        <f>IF(OR(K7="[Select Configuration]", K8="[Select Device]", K8=" "), " ",M48/1000/($K$32-$K$43/1000))</f>
        <v>5.5158173950389921E-3</v>
      </c>
      <c r="P48" s="454"/>
      <c r="R48" s="393" t="s">
        <v>527</v>
      </c>
      <c r="S48" s="40"/>
      <c r="BI48" s="34">
        <f>1+Temp_Range*10^-6*E69</f>
        <v>1</v>
      </c>
      <c r="BJ48" s="35">
        <f>BI48*BJ45*(1+C76/100)</f>
        <v>61900</v>
      </c>
      <c r="BS48" s="58">
        <v>25.5</v>
      </c>
      <c r="BT48" s="17">
        <f>Table3[[#This Row],[R]]*10</f>
        <v>255</v>
      </c>
      <c r="BU48" s="18">
        <f>Table3[[#This Row],[R2]]*10</f>
        <v>2550</v>
      </c>
      <c r="BV48" s="18">
        <f>Table3[[#This Row],[R3]]*10</f>
        <v>25500</v>
      </c>
      <c r="BW48" s="18">
        <f>Table3[[#This Row],[R4]]*10</f>
        <v>255000</v>
      </c>
      <c r="BX48" s="18">
        <f>Table3[[#This Row],[R]]/10</f>
        <v>2.5499999999999998</v>
      </c>
      <c r="BY48" s="18">
        <f>Table3[[#This Row],[R6]]/10</f>
        <v>0.255</v>
      </c>
      <c r="BZ48" s="18">
        <f>Table3[[#This Row],[R7]]/10</f>
        <v>2.5500000000000002E-2</v>
      </c>
      <c r="CA48" s="18">
        <f>Table3[[#This Row],[R8]]/10</f>
        <v>2.5500000000000002E-3</v>
      </c>
      <c r="CB48" s="18">
        <f>Table3[[#This Row],[R9]]/10</f>
        <v>2.5500000000000002E-4</v>
      </c>
    </row>
    <row r="49" spans="2:80" ht="15" customHeight="1" thickBot="1">
      <c r="B49" s="80" t="s">
        <v>336</v>
      </c>
      <c r="C49" s="81"/>
      <c r="D49" s="81"/>
      <c r="E49" s="455">
        <f>IF(OR(K7="[Select Configuration]", K8="[Select Device]", K8=" "), " ",SQRT(SUMSQ(I39,I38)))</f>
        <v>0.13939558823505999</v>
      </c>
      <c r="F49" s="456"/>
      <c r="G49" s="464">
        <f>IF(OR(K10="[Select Configuration]", $K$8="[Select Device]", K11=" "), " ", E49/1000/($K$32-$I$43/1000))</f>
        <v>1.414524472686041E-4</v>
      </c>
      <c r="H49" s="464"/>
      <c r="I49" s="455">
        <f>IF(OR(K7="[Select Configuration]", K8="[Select Device]", K8=" "), " ",SQRT(SUMSQ(K39,K38)))</f>
        <v>0.35539041225965784</v>
      </c>
      <c r="J49" s="456"/>
      <c r="K49" s="463">
        <f>IF(OR($K$7="[Select Configuration]", $K$8="[Select Device]", $K$8=" "), " ",I49/1000/($K$32-$K$43/1000))</f>
        <v>3.6063439443403337E-4</v>
      </c>
      <c r="L49" s="464"/>
      <c r="M49" s="455">
        <f>IF(OR(K7="[Select Configuration]", K8="[Select Device]", K8=" "), " ",(SUM(K39,K38)))</f>
        <v>0.49283782854249319</v>
      </c>
      <c r="N49" s="456"/>
      <c r="O49" s="457">
        <f>IF(OR(K7="[Select Configuration]", K8="[Select Device]", K8=" "), " ",M49/1000/($K$32-$K$43/1000))</f>
        <v>5.0010992339531246E-4</v>
      </c>
      <c r="P49" s="458"/>
      <c r="Q49" s="43"/>
      <c r="R49" s="43"/>
      <c r="S49" s="38"/>
      <c r="BI49" s="565" t="s">
        <v>302</v>
      </c>
      <c r="BJ49" s="566"/>
      <c r="BS49" s="48">
        <v>26.1</v>
      </c>
      <c r="BT49" s="17">
        <f>Table3[[#This Row],[R]]*10</f>
        <v>261</v>
      </c>
      <c r="BU49" s="18">
        <f>Table3[[#This Row],[R2]]*10</f>
        <v>2610</v>
      </c>
      <c r="BV49" s="18">
        <f>Table3[[#This Row],[R3]]*10</f>
        <v>26100</v>
      </c>
      <c r="BW49" s="18">
        <f>Table3[[#This Row],[R4]]*10</f>
        <v>261000</v>
      </c>
      <c r="BX49" s="18">
        <f>Table3[[#This Row],[R]]/10</f>
        <v>2.6100000000000003</v>
      </c>
      <c r="BY49" s="18">
        <f>Table3[[#This Row],[R6]]/10</f>
        <v>0.26100000000000001</v>
      </c>
      <c r="BZ49" s="18">
        <f>Table3[[#This Row],[R7]]/10</f>
        <v>2.6100000000000002E-2</v>
      </c>
      <c r="CA49" s="18">
        <f>Table3[[#This Row],[R8]]/10</f>
        <v>2.6100000000000003E-3</v>
      </c>
      <c r="CB49" s="18">
        <f>Table3[[#This Row],[R9]]/10</f>
        <v>2.6100000000000006E-4</v>
      </c>
    </row>
    <row r="50" spans="2:80" ht="15" customHeight="1" thickBot="1">
      <c r="B50" s="82"/>
      <c r="C50" s="82"/>
      <c r="D50" s="82"/>
      <c r="E50" s="360"/>
      <c r="F50" s="360"/>
      <c r="G50" s="360"/>
      <c r="H50" s="360"/>
      <c r="I50" s="361"/>
      <c r="J50" s="484" t="str">
        <f>IF(IF(K7="[Select Configuration]", "Differential", IF(K8="[Select Device]", "Differential", VLOOKUP(K8, Devices[], COLUMN(Devices[Output Type]), 0)))="Differential", "", "This device has single-ended or ratiometric output. Set values listed in left column.")</f>
        <v/>
      </c>
      <c r="K50" s="484"/>
      <c r="L50" s="484"/>
      <c r="BI50" s="355"/>
      <c r="BJ50" s="356"/>
      <c r="BS50" s="357"/>
      <c r="BT50" s="358">
        <f>Table3[[#This Row],[R]]*10</f>
        <v>0</v>
      </c>
      <c r="BU50" s="359">
        <f>Table3[[#This Row],[R2]]*10</f>
        <v>0</v>
      </c>
      <c r="BV50" s="359">
        <f>Table3[[#This Row],[R3]]*10</f>
        <v>0</v>
      </c>
      <c r="BW50" s="359">
        <f>Table3[[#This Row],[R]]/10</f>
        <v>0</v>
      </c>
      <c r="BX50" s="359">
        <f>Table3[[#This Row],[R5]]/10</f>
        <v>0</v>
      </c>
      <c r="BY50" s="359">
        <f>Table3[[#This Row],[R6]]/10</f>
        <v>0</v>
      </c>
      <c r="BZ50" s="359">
        <f>Table3[[#This Row],[R7]]/10</f>
        <v>0</v>
      </c>
      <c r="CA50" s="359">
        <f>Table3[[#This Row],[R8]]/10</f>
        <v>0</v>
      </c>
      <c r="CB50" s="359">
        <f>Table3[[#This Row],[R9]]/10</f>
        <v>0</v>
      </c>
    </row>
    <row r="51" spans="2:80" ht="15" customHeight="1" thickBot="1">
      <c r="B51" s="82"/>
      <c r="C51" s="82"/>
      <c r="D51" s="82"/>
      <c r="H51" s="83"/>
      <c r="I51" s="83"/>
      <c r="J51" s="485"/>
      <c r="K51" s="485"/>
      <c r="L51" s="485"/>
      <c r="BI51" s="22" t="s">
        <v>94</v>
      </c>
      <c r="BJ51" s="41">
        <f>K9*K19/(K19+BJ36)*1000</f>
        <v>985.51970641383866</v>
      </c>
      <c r="BS51" s="54">
        <v>26.7</v>
      </c>
      <c r="BT51" s="17">
        <f>Table3[[#This Row],[R]]*10</f>
        <v>267</v>
      </c>
      <c r="BU51" s="18">
        <f>Table3[[#This Row],[R2]]*10</f>
        <v>2670</v>
      </c>
      <c r="BV51" s="18">
        <f>Table3[[#This Row],[R3]]*10</f>
        <v>26700</v>
      </c>
      <c r="BW51" s="18">
        <f>Table3[[#This Row],[R4]]*10</f>
        <v>267000</v>
      </c>
      <c r="BX51" s="18">
        <f>Table3[[#This Row],[R]]/10</f>
        <v>2.67</v>
      </c>
      <c r="BY51" s="18">
        <f>Table3[[#This Row],[R6]]/10</f>
        <v>0.26700000000000002</v>
      </c>
      <c r="BZ51" s="18">
        <f>Table3[[#This Row],[R7]]/10</f>
        <v>2.6700000000000002E-2</v>
      </c>
      <c r="CA51" s="18">
        <f>Table3[[#This Row],[R8]]/10</f>
        <v>2.6700000000000001E-3</v>
      </c>
      <c r="CB51" s="18">
        <f>Table3[[#This Row],[R9]]/10</f>
        <v>2.6699999999999998E-4</v>
      </c>
    </row>
    <row r="52" spans="2:80" ht="17.649999999999999" thickBot="1">
      <c r="B52" s="82"/>
      <c r="C52" s="82"/>
      <c r="D52" s="82"/>
      <c r="H52" s="83"/>
      <c r="I52" s="83"/>
      <c r="J52" s="474" t="s">
        <v>343</v>
      </c>
      <c r="K52" s="475"/>
      <c r="L52" s="476"/>
      <c r="N52" s="606" t="s">
        <v>345</v>
      </c>
      <c r="O52" s="607"/>
      <c r="BI52" s="22"/>
      <c r="BJ52" s="41"/>
      <c r="BS52" s="64"/>
      <c r="BT52" s="65">
        <f>Table3[[#This Row],[R]]*10</f>
        <v>0</v>
      </c>
      <c r="BU52" s="18">
        <f>Table3[[#This Row],[R2]]*10</f>
        <v>0</v>
      </c>
      <c r="BV52" s="18">
        <f>Table3[[#This Row],[R3]]*10</f>
        <v>0</v>
      </c>
      <c r="BW52" s="18">
        <f>Table3[[#This Row],[R]]/10</f>
        <v>0</v>
      </c>
      <c r="BX52" s="18">
        <f>Table3[[#This Row],[R5]]/10</f>
        <v>0</v>
      </c>
      <c r="BY52" s="18">
        <f>Table3[[#This Row],[R6]]/10</f>
        <v>0</v>
      </c>
      <c r="BZ52" s="18">
        <f>Table3[[#This Row],[R7]]/10</f>
        <v>0</v>
      </c>
      <c r="CA52" s="18">
        <f>Table3[[#This Row],[R8]]/10</f>
        <v>0</v>
      </c>
      <c r="CB52" s="18">
        <f>Table3[[#This Row],[R9]]/10</f>
        <v>0</v>
      </c>
    </row>
    <row r="53" spans="2:80" ht="26.1" customHeight="1" thickBot="1">
      <c r="B53" s="82"/>
      <c r="C53" s="82"/>
      <c r="D53" s="82"/>
      <c r="H53" s="83"/>
      <c r="I53" s="83"/>
      <c r="J53" s="470" t="s">
        <v>439</v>
      </c>
      <c r="K53" s="471"/>
      <c r="L53" s="131">
        <f>IF(OR(K8="[Select Device]",K7="[Select Configuration]")," ", (L55+(ABS(2.5-(5*10*(1+(L57)/100))/(10*(1+(L57)/100)+10*(1-(L57)/100)))*1000)))</f>
        <v>2.8999999999999466</v>
      </c>
      <c r="N53" s="84" t="s">
        <v>346</v>
      </c>
      <c r="O53" s="422">
        <f>E74</f>
        <v>2072.5905937430402</v>
      </c>
      <c r="BI53" s="22" t="s">
        <v>303</v>
      </c>
      <c r="BJ53" s="41">
        <f>K9*K19/(K19+BJ35)*1000</f>
        <v>985.51970641383866</v>
      </c>
      <c r="BS53" s="54">
        <v>27.4</v>
      </c>
      <c r="BT53" s="17">
        <f>Table3[[#This Row],[R]]*10</f>
        <v>274</v>
      </c>
      <c r="BU53" s="18">
        <f>Table3[[#This Row],[R2]]*10</f>
        <v>2740</v>
      </c>
      <c r="BV53" s="18">
        <f>Table3[[#This Row],[R3]]*10</f>
        <v>27400</v>
      </c>
      <c r="BW53" s="18">
        <f>Table3[[#This Row],[R4]]*10</f>
        <v>274000</v>
      </c>
      <c r="BX53" s="18">
        <f>Table3[[#This Row],[R]]/10</f>
        <v>2.7399999999999998</v>
      </c>
      <c r="BY53" s="18">
        <f>Table3[[#This Row],[R6]]/10</f>
        <v>0.27399999999999997</v>
      </c>
      <c r="BZ53" s="18">
        <f>Table3[[#This Row],[R7]]/10</f>
        <v>2.7399999999999997E-2</v>
      </c>
      <c r="CA53" s="18">
        <f>Table3[[#This Row],[R8]]/10</f>
        <v>2.7399999999999998E-3</v>
      </c>
      <c r="CB53" s="18">
        <f>Table3[[#This Row],[R9]]/10</f>
        <v>2.7399999999999999E-4</v>
      </c>
    </row>
    <row r="54" spans="2:80" ht="26.1" customHeight="1" thickBot="1">
      <c r="B54" s="82"/>
      <c r="C54" s="82"/>
      <c r="D54" s="82"/>
      <c r="H54" s="83"/>
      <c r="I54" s="83"/>
      <c r="J54" s="477" t="s">
        <v>440</v>
      </c>
      <c r="K54" s="478"/>
      <c r="L54" s="132">
        <f>IF(OR(K8="[Select Device]", K7="[Select Configuration]"), " ", (L56*Temp_Range/1000+(ABS(2.5-(5*10*(1+(L58*Temp_Range/1000000)/100))/(10*(1+(L58*Temp_Range/1000000)/100)+10*(1-(L58*Temp_Range/1000000)/100)))*1000)))</f>
        <v>0.18500000000015276</v>
      </c>
      <c r="N54" s="85" t="s">
        <v>347</v>
      </c>
      <c r="O54" s="413">
        <f>F74</f>
        <v>2.0725905937430404E-3</v>
      </c>
      <c r="BI54" s="22" t="s">
        <v>304</v>
      </c>
      <c r="BJ54" s="41">
        <f>K9*K19/(K19+BJ37)*1000</f>
        <v>985.51970641383866</v>
      </c>
      <c r="BS54" s="54">
        <v>28</v>
      </c>
      <c r="BT54" s="17">
        <f>Table3[[#This Row],[R]]*10</f>
        <v>280</v>
      </c>
      <c r="BU54" s="18">
        <f>Table3[[#This Row],[R2]]*10</f>
        <v>2800</v>
      </c>
      <c r="BV54" s="18">
        <f>Table3[[#This Row],[R3]]*10</f>
        <v>28000</v>
      </c>
      <c r="BW54" s="18">
        <f>Table3[[#This Row],[R4]]*10</f>
        <v>280000</v>
      </c>
      <c r="BX54" s="18">
        <f>Table3[[#This Row],[R]]/10</f>
        <v>2.8</v>
      </c>
      <c r="BY54" s="18">
        <f>Table3[[#This Row],[R6]]/10</f>
        <v>0.27999999999999997</v>
      </c>
      <c r="BZ54" s="18">
        <f>Table3[[#This Row],[R7]]/10</f>
        <v>2.7999999999999997E-2</v>
      </c>
      <c r="CA54" s="18">
        <f>Table3[[#This Row],[R8]]/10</f>
        <v>2.7999999999999995E-3</v>
      </c>
      <c r="CB54" s="18">
        <f>Table3[[#This Row],[R9]]/10</f>
        <v>2.7999999999999998E-4</v>
      </c>
    </row>
    <row r="55" spans="2:80" ht="26.1" customHeight="1">
      <c r="B55" s="82"/>
      <c r="C55" s="82"/>
      <c r="D55" s="82"/>
      <c r="H55" s="83"/>
      <c r="I55" s="83"/>
      <c r="J55" s="472" t="str">
        <f>IF(IF(K7="[Select Configuration]", "Differential", IF(K8="[Select Device]", "Differential", VLOOKUP(K8, Devices[], COLUMN(Devices[Output Type]), 0)))="Differential", "OPA Input Offset", "OPA Input Offset =  0")</f>
        <v>OPA Input Offset</v>
      </c>
      <c r="K55" s="473"/>
      <c r="L55" s="7">
        <v>0.4</v>
      </c>
      <c r="N55" s="85" t="s">
        <v>350</v>
      </c>
      <c r="O55" s="423">
        <f>H74</f>
        <v>2.0429020953558332</v>
      </c>
      <c r="BI55" s="22"/>
      <c r="BJ55" s="41"/>
      <c r="BS55" s="64"/>
      <c r="BT55" s="65">
        <f>Table3[[#This Row],[R]]*10</f>
        <v>0</v>
      </c>
      <c r="BU55" s="18">
        <f>Table3[[#This Row],[R2]]*10</f>
        <v>0</v>
      </c>
      <c r="BV55" s="18">
        <f>Table3[[#This Row],[R3]]*10</f>
        <v>0</v>
      </c>
      <c r="BW55" s="18">
        <f>Table3[[#This Row],[R]]/10</f>
        <v>0</v>
      </c>
      <c r="BX55" s="18">
        <f>Table3[[#This Row],[R5]]/10</f>
        <v>0</v>
      </c>
      <c r="BY55" s="18">
        <f>Table3[[#This Row],[R6]]/10</f>
        <v>0</v>
      </c>
      <c r="BZ55" s="18">
        <f>Table3[[#This Row],[R7]]/10</f>
        <v>0</v>
      </c>
      <c r="CA55" s="18">
        <f>Table3[[#This Row],[R8]]/10</f>
        <v>0</v>
      </c>
      <c r="CB55" s="18">
        <f>Table3[[#This Row],[R9]]/10</f>
        <v>0</v>
      </c>
    </row>
    <row r="56" spans="2:80" ht="26.1" customHeight="1">
      <c r="B56" s="82"/>
      <c r="C56" s="82"/>
      <c r="D56" s="82"/>
      <c r="H56" s="83"/>
      <c r="I56" s="83"/>
      <c r="J56" s="472" t="str">
        <f>IF(IF(K7="[Select Configuration]", "Differential", IF(K8="[Select Device]", "Differential", VLOOKUP(K8, Devices[], COLUMN(Devices[Output Type]), 0)))="Differential", "OPA Offset Drift", "OPA Offset Drift = 0")</f>
        <v>OPA Offset Drift</v>
      </c>
      <c r="K56" s="473"/>
      <c r="L56" s="8">
        <v>0.6</v>
      </c>
      <c r="N56" s="85" t="s">
        <v>528</v>
      </c>
      <c r="O56" s="424">
        <f>E78</f>
        <v>6217.7717812291212</v>
      </c>
      <c r="BI56" s="22"/>
      <c r="BJ56" s="41"/>
      <c r="BS56" s="64"/>
      <c r="BT56" s="65">
        <f>Table3[[#This Row],[R]]*10</f>
        <v>0</v>
      </c>
      <c r="BU56" s="18">
        <f>Table3[[#This Row],[R2]]*10</f>
        <v>0</v>
      </c>
      <c r="BV56" s="18">
        <f>Table3[[#This Row],[R3]]*10</f>
        <v>0</v>
      </c>
      <c r="BW56" s="18">
        <f>Table3[[#This Row],[R]]/10</f>
        <v>0</v>
      </c>
      <c r="BX56" s="18">
        <f>Table3[[#This Row],[R5]]/10</f>
        <v>0</v>
      </c>
      <c r="BY56" s="18">
        <f>Table3[[#This Row],[R6]]/10</f>
        <v>0</v>
      </c>
      <c r="BZ56" s="18">
        <f>Table3[[#This Row],[R7]]/10</f>
        <v>0</v>
      </c>
      <c r="CA56" s="18">
        <f>Table3[[#This Row],[R8]]/10</f>
        <v>0</v>
      </c>
      <c r="CB56" s="18">
        <f>Table3[[#This Row],[R9]]/10</f>
        <v>0</v>
      </c>
    </row>
    <row r="57" spans="2:80" ht="26.1" customHeight="1">
      <c r="B57" s="82"/>
      <c r="C57" s="82"/>
      <c r="D57" s="82"/>
      <c r="H57" s="83"/>
      <c r="I57" s="83"/>
      <c r="J57" s="472" t="str">
        <f>IF(IF(K7="[Select Configuration]", "Differential", IF(K8="[Select Device]", "Differential", VLOOKUP(K8, Devices[], COLUMN(Devices[Output Type]), 0)))="Differential", "OPA Rf/Rg Tolerance", "OPA Rf/Rg Tolerance = 0")</f>
        <v>OPA Rf/Rg Tolerance</v>
      </c>
      <c r="K57" s="473"/>
      <c r="L57" s="9">
        <v>0.1</v>
      </c>
      <c r="N57" s="85" t="s">
        <v>349</v>
      </c>
      <c r="O57" s="425">
        <f>F78</f>
        <v>6.2177717812291209E-3</v>
      </c>
      <c r="BI57" s="22"/>
      <c r="BJ57" s="41"/>
      <c r="BS57" s="64"/>
      <c r="BT57" s="65">
        <f>Table3[[#This Row],[R]]*10</f>
        <v>0</v>
      </c>
      <c r="BU57" s="18">
        <f>Table3[[#This Row],[R2]]*10</f>
        <v>0</v>
      </c>
      <c r="BV57" s="18">
        <f>Table3[[#This Row],[R3]]*10</f>
        <v>0</v>
      </c>
      <c r="BW57" s="18">
        <f>Table3[[#This Row],[R]]/10</f>
        <v>0</v>
      </c>
      <c r="BX57" s="18">
        <f>Table3[[#This Row],[R5]]/10</f>
        <v>0</v>
      </c>
      <c r="BY57" s="18">
        <f>Table3[[#This Row],[R6]]/10</f>
        <v>0</v>
      </c>
      <c r="BZ57" s="18">
        <f>Table3[[#This Row],[R7]]/10</f>
        <v>0</v>
      </c>
      <c r="CA57" s="18">
        <f>Table3[[#This Row],[R8]]/10</f>
        <v>0</v>
      </c>
      <c r="CB57" s="18">
        <f>Table3[[#This Row],[R9]]/10</f>
        <v>0</v>
      </c>
    </row>
    <row r="58" spans="2:80" ht="26.1" customHeight="1" thickBot="1">
      <c r="B58" s="82"/>
      <c r="C58" s="82"/>
      <c r="D58" s="82"/>
      <c r="H58" s="83"/>
      <c r="I58" s="83"/>
      <c r="J58" s="472" t="str">
        <f>IF(IF(K7="[Select Configuration]", "Differential", IF(K8="[Select Device]", "Differential", VLOOKUP(K8, Devices[], COLUMN(Devices[Output Type]), 0)))="Differential", "OPA Rf/Rg Drift", "OPA Rf/Rg Drift = 0")</f>
        <v>OPA Rf/Rg Drift</v>
      </c>
      <c r="K58" s="473"/>
      <c r="L58" s="12">
        <v>50</v>
      </c>
      <c r="N58" s="86" t="s">
        <v>348</v>
      </c>
      <c r="O58" s="426">
        <f>H78</f>
        <v>6.1287062860674997</v>
      </c>
      <c r="BI58" s="22"/>
      <c r="BJ58" s="41"/>
      <c r="BS58" s="64"/>
      <c r="BT58" s="65"/>
      <c r="BU58" s="18">
        <f>Table3[[#This Row],[R2]]*10</f>
        <v>0</v>
      </c>
      <c r="BV58" s="18">
        <f>Table3[[#This Row],[R3]]*10</f>
        <v>0</v>
      </c>
      <c r="BW58" s="18">
        <f>Table3[[#This Row],[R]]/10</f>
        <v>0</v>
      </c>
      <c r="BX58" s="18">
        <f>Table3[[#This Row],[R5]]/10</f>
        <v>0</v>
      </c>
      <c r="BY58" s="18">
        <f>Table3[[#This Row],[R6]]/10</f>
        <v>0</v>
      </c>
      <c r="BZ58" s="18">
        <f>Table3[[#This Row],[R7]]/10</f>
        <v>0</v>
      </c>
      <c r="CA58" s="18">
        <f>Table3[[#This Row],[R8]]/10</f>
        <v>0</v>
      </c>
      <c r="CB58" s="18">
        <f>Table3[[#This Row],[R9]]/10</f>
        <v>0</v>
      </c>
    </row>
    <row r="59" spans="2:80" ht="26.1" customHeight="1" thickBot="1">
      <c r="B59" s="82"/>
      <c r="C59" s="82"/>
      <c r="D59" s="82"/>
      <c r="H59" s="83"/>
      <c r="I59" s="83"/>
      <c r="J59" s="362" t="str">
        <f>IF(IF(K7="[Select Configuration]", "Differential", IF(K8="[Select Device]", "Differential", VLOOKUP(K8, Devices[], COLUMN(Devices[Output Type]), 0)))="Differential", "Rf", "Rf = 1")</f>
        <v>Rf</v>
      </c>
      <c r="K59" s="363"/>
      <c r="L59" s="10">
        <v>4.0999999999999996</v>
      </c>
      <c r="BI59" s="22" t="s">
        <v>305</v>
      </c>
      <c r="BJ59" s="87">
        <f>K9*K19/(K19+BJ39)*1000</f>
        <v>985.51970641383866</v>
      </c>
      <c r="BS59" s="54">
        <v>28.7</v>
      </c>
      <c r="BT59" s="17">
        <f>Table3[[#This Row],[R]]*10</f>
        <v>287</v>
      </c>
      <c r="BU59" s="18">
        <f>Table3[[#This Row],[R2]]*10</f>
        <v>2870</v>
      </c>
      <c r="BV59" s="18">
        <f>Table3[[#This Row],[R3]]*10</f>
        <v>28700</v>
      </c>
      <c r="BW59" s="18">
        <f>Table3[[#This Row],[R4]]*10</f>
        <v>287000</v>
      </c>
      <c r="BX59" s="18">
        <f>Table3[[#This Row],[R]]/10</f>
        <v>2.87</v>
      </c>
      <c r="BY59" s="18">
        <f>Table3[[#This Row],[R6]]/10</f>
        <v>0.28700000000000003</v>
      </c>
      <c r="BZ59" s="18">
        <f>Table3[[#This Row],[R7]]/10</f>
        <v>2.8700000000000003E-2</v>
      </c>
      <c r="CA59" s="18">
        <f>Table3[[#This Row],[R8]]/10</f>
        <v>2.8700000000000002E-3</v>
      </c>
      <c r="CB59" s="18">
        <f>Table3[[#This Row],[R9]]/10</f>
        <v>2.8700000000000004E-4</v>
      </c>
    </row>
    <row r="60" spans="2:80" ht="26.1" customHeight="1" thickBot="1">
      <c r="J60" s="364" t="str">
        <f>IF(IF(K7="[Select Configuration]", "Differential", IF(K8="[Select Device]", "Differential", VLOOKUP(K8, Devices[], COLUMN(Devices[Output Type]), 0)))="Differential", "Rg", "Rg = 1")</f>
        <v>Rg</v>
      </c>
      <c r="K60" s="365"/>
      <c r="L60" s="88">
        <v>3.3</v>
      </c>
      <c r="BI60" s="22" t="s">
        <v>306</v>
      </c>
      <c r="BJ60" s="41">
        <f>K9*K19/(K19+BJ40)*1000</f>
        <v>985.51970641383866</v>
      </c>
      <c r="BS60" s="54">
        <v>29.4</v>
      </c>
      <c r="BT60" s="17">
        <f>Table3[[#This Row],[R]]*10</f>
        <v>294</v>
      </c>
      <c r="BU60" s="18">
        <f>Table3[[#This Row],[R2]]*10</f>
        <v>2940</v>
      </c>
      <c r="BV60" s="18">
        <f>Table3[[#This Row],[R3]]*10</f>
        <v>29400</v>
      </c>
      <c r="BW60" s="18">
        <f>Table3[[#This Row],[R4]]*10</f>
        <v>294000</v>
      </c>
      <c r="BX60" s="18">
        <f>Table3[[#This Row],[R]]/10</f>
        <v>2.94</v>
      </c>
      <c r="BY60" s="18">
        <f>Table3[[#This Row],[R6]]/10</f>
        <v>0.29399999999999998</v>
      </c>
      <c r="BZ60" s="18">
        <f>Table3[[#This Row],[R7]]/10</f>
        <v>2.9399999999999999E-2</v>
      </c>
      <c r="CA60" s="18">
        <f>Table3[[#This Row],[R8]]/10</f>
        <v>2.9399999999999999E-3</v>
      </c>
      <c r="CB60" s="18">
        <f>Table3[[#This Row],[R9]]/10</f>
        <v>2.9399999999999999E-4</v>
      </c>
    </row>
    <row r="61" spans="2:80" ht="15" customHeight="1" thickBot="1">
      <c r="F61" s="89"/>
      <c r="N61" s="90"/>
      <c r="O61" s="91"/>
      <c r="BI61" s="22" t="s">
        <v>307</v>
      </c>
      <c r="BJ61" s="41">
        <f>K9*BJ42/(BJ42+BJ36)*1000</f>
        <v>985.51970641383866</v>
      </c>
      <c r="BS61" s="54">
        <v>30.1</v>
      </c>
      <c r="BT61" s="17">
        <f>Table3[[#This Row],[R]]*10</f>
        <v>301</v>
      </c>
      <c r="BU61" s="18">
        <f>Table3[[#This Row],[R2]]*10</f>
        <v>3010</v>
      </c>
      <c r="BV61" s="18">
        <f>Table3[[#This Row],[R3]]*10</f>
        <v>30100</v>
      </c>
      <c r="BW61" s="18">
        <f>Table3[[#This Row],[R4]]*10</f>
        <v>301000</v>
      </c>
      <c r="BX61" s="18">
        <f>Table3[[#This Row],[R]]/10</f>
        <v>3.0100000000000002</v>
      </c>
      <c r="BY61" s="18">
        <f>Table3[[#This Row],[R6]]/10</f>
        <v>0.30100000000000005</v>
      </c>
      <c r="BZ61" s="18">
        <f>Table3[[#This Row],[R7]]/10</f>
        <v>3.0100000000000005E-2</v>
      </c>
      <c r="CA61" s="18">
        <f>Table3[[#This Row],[R8]]/10</f>
        <v>3.0100000000000005E-3</v>
      </c>
      <c r="CB61" s="18">
        <f>Table3[[#This Row],[R9]]/10</f>
        <v>3.0100000000000005E-4</v>
      </c>
    </row>
    <row r="62" spans="2:80" ht="17.649999999999999" thickBot="1">
      <c r="B62" s="616" t="str">
        <f>"Resistor Divider + Isolated Amplifier + Differential to Single-ended Conversion Error Calculation Across Temperature ("&amp;K15&amp;"°C to + "&amp;K16&amp;"°C)"</f>
        <v>Resistor Divider + Isolated Amplifier + Differential to Single-ended Conversion Error Calculation Across Temperature (-40°C to + 125°C)</v>
      </c>
      <c r="C62" s="617"/>
      <c r="D62" s="617"/>
      <c r="E62" s="617"/>
      <c r="F62" s="617"/>
      <c r="G62" s="617"/>
      <c r="H62" s="617"/>
      <c r="I62" s="617"/>
      <c r="J62" s="617"/>
      <c r="K62" s="617"/>
      <c r="L62" s="618"/>
      <c r="N62" s="92"/>
      <c r="O62" s="92"/>
      <c r="BI62" s="22" t="s">
        <v>308</v>
      </c>
      <c r="BJ62" s="41">
        <f>K9*BJ45/(BJ42+BJ36)*1000</f>
        <v>985.51970641383866</v>
      </c>
      <c r="BS62" s="58">
        <v>30.9</v>
      </c>
      <c r="BT62" s="17">
        <f>Table3[[#This Row],[R]]*10</f>
        <v>309</v>
      </c>
      <c r="BU62" s="18">
        <f>Table3[[#This Row],[R2]]*10</f>
        <v>3090</v>
      </c>
      <c r="BV62" s="18">
        <f>Table3[[#This Row],[R3]]*10</f>
        <v>30900</v>
      </c>
      <c r="BW62" s="18">
        <f>Table3[[#This Row],[R4]]*10</f>
        <v>309000</v>
      </c>
      <c r="BX62" s="18">
        <f>Table3[[#This Row],[R]]/10</f>
        <v>3.09</v>
      </c>
      <c r="BY62" s="18">
        <f>Table3[[#This Row],[R6]]/10</f>
        <v>0.309</v>
      </c>
      <c r="BZ62" s="18">
        <f>Table3[[#This Row],[R7]]/10</f>
        <v>3.09E-2</v>
      </c>
      <c r="CA62" s="18">
        <f>Table3[[#This Row],[R8]]/10</f>
        <v>3.0899999999999999E-3</v>
      </c>
      <c r="CB62" s="18">
        <f>Table3[[#This Row],[R9]]/10</f>
        <v>3.0899999999999998E-4</v>
      </c>
    </row>
    <row r="63" spans="2:80" ht="17.649999999999999" thickBot="1">
      <c r="B63" s="619"/>
      <c r="C63" s="620"/>
      <c r="D63" s="620"/>
      <c r="E63" s="620"/>
      <c r="F63" s="620"/>
      <c r="G63" s="620"/>
      <c r="H63" s="620"/>
      <c r="I63" s="620"/>
      <c r="J63" s="620"/>
      <c r="K63" s="620"/>
      <c r="L63" s="621"/>
      <c r="N63" s="90"/>
      <c r="O63" s="93"/>
      <c r="BI63" s="22" t="s">
        <v>309</v>
      </c>
      <c r="BJ63" s="41">
        <f>K9*BJ47/(BJ47+BJ36)*1000</f>
        <v>985.51970641383866</v>
      </c>
      <c r="BS63" s="48">
        <v>31.6</v>
      </c>
      <c r="BT63" s="17">
        <f>Table3[[#This Row],[R]]*10</f>
        <v>316</v>
      </c>
      <c r="BU63" s="18">
        <f>Table3[[#This Row],[R2]]*10</f>
        <v>3160</v>
      </c>
      <c r="BV63" s="18">
        <f>Table3[[#This Row],[R3]]*10</f>
        <v>31600</v>
      </c>
      <c r="BW63" s="18">
        <f>Table3[[#This Row],[R4]]*10</f>
        <v>316000</v>
      </c>
      <c r="BX63" s="18">
        <f>Table3[[#This Row],[R]]/10</f>
        <v>3.16</v>
      </c>
      <c r="BY63" s="18">
        <f>Table3[[#This Row],[R6]]/10</f>
        <v>0.316</v>
      </c>
      <c r="BZ63" s="18">
        <f>Table3[[#This Row],[R7]]/10</f>
        <v>3.1600000000000003E-2</v>
      </c>
      <c r="CA63" s="18">
        <f>Table3[[#This Row],[R8]]/10</f>
        <v>3.1600000000000005E-3</v>
      </c>
      <c r="CB63" s="18">
        <f>Table3[[#This Row],[R9]]/10</f>
        <v>3.1600000000000004E-4</v>
      </c>
    </row>
    <row r="64" spans="2:80" ht="17.649999999999999" thickBot="1">
      <c r="B64" s="532">
        <v>1</v>
      </c>
      <c r="C64" s="497"/>
      <c r="D64" s="532">
        <v>2</v>
      </c>
      <c r="E64" s="533"/>
      <c r="F64" s="497">
        <v>3</v>
      </c>
      <c r="G64" s="497"/>
      <c r="H64" s="497"/>
      <c r="I64" s="533"/>
      <c r="J64" s="497" t="s">
        <v>271</v>
      </c>
      <c r="K64" s="497"/>
      <c r="L64" s="533"/>
      <c r="N64" s="92"/>
      <c r="O64" s="92"/>
      <c r="BI64" s="49" t="s">
        <v>310</v>
      </c>
      <c r="BJ64" s="94">
        <f>K9*BJ48/(BJ48+BJ36)*1000</f>
        <v>985.51970641383866</v>
      </c>
      <c r="BS64" s="54">
        <v>32.4</v>
      </c>
      <c r="BT64" s="17">
        <f>Table3[[#This Row],[R]]*10</f>
        <v>324</v>
      </c>
      <c r="BU64" s="18">
        <f>Table3[[#This Row],[R2]]*10</f>
        <v>3240</v>
      </c>
      <c r="BV64" s="18">
        <f>Table3[[#This Row],[R3]]*10</f>
        <v>32400</v>
      </c>
      <c r="BW64" s="18">
        <f>Table3[[#This Row],[R4]]*10</f>
        <v>324000</v>
      </c>
      <c r="BX64" s="18">
        <f>Table3[[#This Row],[R]]/10</f>
        <v>3.2399999999999998</v>
      </c>
      <c r="BY64" s="18">
        <f>Table3[[#This Row],[R6]]/10</f>
        <v>0.32399999999999995</v>
      </c>
      <c r="BZ64" s="18">
        <f>Table3[[#This Row],[R7]]/10</f>
        <v>3.2399999999999998E-2</v>
      </c>
      <c r="CA64" s="18">
        <f>Table3[[#This Row],[R8]]/10</f>
        <v>3.2399999999999998E-3</v>
      </c>
      <c r="CB64" s="18">
        <f>Table3[[#This Row],[R9]]/10</f>
        <v>3.2399999999999996E-4</v>
      </c>
    </row>
    <row r="65" spans="2:80" ht="33" customHeight="1" thickBot="1">
      <c r="B65" s="481" t="s">
        <v>352</v>
      </c>
      <c r="C65" s="482"/>
      <c r="D65" s="481" t="s">
        <v>351</v>
      </c>
      <c r="E65" s="483"/>
      <c r="F65" s="622" t="s">
        <v>344</v>
      </c>
      <c r="G65" s="622"/>
      <c r="H65" s="622"/>
      <c r="I65" s="622"/>
      <c r="J65" s="481" t="s">
        <v>353</v>
      </c>
      <c r="K65" s="482"/>
      <c r="L65" s="483"/>
      <c r="N65" s="90"/>
      <c r="O65" s="95"/>
      <c r="BI65" s="565" t="s">
        <v>311</v>
      </c>
      <c r="BJ65" s="566"/>
      <c r="BS65" s="54">
        <v>33.200000000000003</v>
      </c>
      <c r="BT65" s="17">
        <f>Table3[[#This Row],[R]]*10</f>
        <v>332</v>
      </c>
      <c r="BU65" s="18">
        <f>Table3[[#This Row],[R2]]*10</f>
        <v>3320</v>
      </c>
      <c r="BV65" s="18">
        <f>Table3[[#This Row],[R3]]*10</f>
        <v>33200</v>
      </c>
      <c r="BW65" s="18">
        <f>Table3[[#This Row],[R4]]*10</f>
        <v>332000</v>
      </c>
      <c r="BX65" s="18">
        <f>Table3[[#This Row],[R]]/10</f>
        <v>3.3200000000000003</v>
      </c>
      <c r="BY65" s="18">
        <f>Table3[[#This Row],[R6]]/10</f>
        <v>0.33200000000000002</v>
      </c>
      <c r="BZ65" s="18">
        <f>Table3[[#This Row],[R7]]/10</f>
        <v>3.32E-2</v>
      </c>
      <c r="CA65" s="18">
        <f>Table3[[#This Row],[R8]]/10</f>
        <v>3.32E-3</v>
      </c>
      <c r="CB65" s="18">
        <f>Table3[[#This Row],[R9]]/10</f>
        <v>3.3199999999999999E-4</v>
      </c>
    </row>
    <row r="66" spans="2:80" ht="17.649999999999999" thickBot="1">
      <c r="B66" s="96" t="s">
        <v>184</v>
      </c>
      <c r="C66" s="97">
        <f>IF(OR(K8="[Select Device]",K7="[Select Configuration]")," ",(K34/$K$32)*1000)</f>
        <v>2000</v>
      </c>
      <c r="D66" s="98" t="s">
        <v>287</v>
      </c>
      <c r="E66" s="11">
        <v>0</v>
      </c>
      <c r="F66" s="479" t="s">
        <v>272</v>
      </c>
      <c r="G66" s="480"/>
      <c r="H66" s="610">
        <f>IF(OR(K8="[Select Device]", K7="[Select Configuration]"), " ", $L$59/$L$60)</f>
        <v>1.2424242424242424</v>
      </c>
      <c r="I66" s="611"/>
      <c r="J66" s="479" t="s">
        <v>184</v>
      </c>
      <c r="K66" s="480"/>
      <c r="L66" s="99">
        <f>IF(OR(K8="[Select Device]",K7="[Select Configuration]")," ",SQRT(SUMSQ($E$70,$C$66,$H$69)))</f>
        <v>2828.4271247461902</v>
      </c>
      <c r="N66" t="str">
        <f>IF(OR(K8="[Select Device]",K7="[Select Configuration]")," ",IF(K7="Integrated Resistor Divider","Please set Resistor Divider and Sense Resistor Tolerance to 0%. This error is accounted for in Gain Error", " "))</f>
        <v xml:space="preserve"> </v>
      </c>
      <c r="BI66" s="22" t="s">
        <v>94</v>
      </c>
      <c r="BJ66" s="41">
        <f>K9*K19/(K19+BJ36)*1000</f>
        <v>985.51970641383866</v>
      </c>
      <c r="BS66" s="54">
        <v>34</v>
      </c>
      <c r="BT66" s="17">
        <f>Table3[[#This Row],[R]]*10</f>
        <v>340</v>
      </c>
      <c r="BU66" s="18">
        <f>Table3[[#This Row],[R2]]*10</f>
        <v>3400</v>
      </c>
      <c r="BV66" s="18">
        <f>Table3[[#This Row],[R3]]*10</f>
        <v>34000</v>
      </c>
      <c r="BW66" s="18">
        <f>Table3[[#This Row],[R4]]*10</f>
        <v>340000</v>
      </c>
      <c r="BX66" s="18">
        <f>Table3[[#This Row],[R]]/10</f>
        <v>3.4</v>
      </c>
      <c r="BY66" s="18">
        <f>Table3[[#This Row],[R6]]/10</f>
        <v>0.33999999999999997</v>
      </c>
      <c r="BZ66" s="18">
        <f>Table3[[#This Row],[R7]]/10</f>
        <v>3.3999999999999996E-2</v>
      </c>
      <c r="CA66" s="18">
        <f>Table3[[#This Row],[R8]]/10</f>
        <v>3.3999999999999994E-3</v>
      </c>
      <c r="CB66" s="18">
        <f>Table3[[#This Row],[R9]]/10</f>
        <v>3.3999999999999992E-4</v>
      </c>
    </row>
    <row r="67" spans="2:80" ht="17.649999999999999" thickBot="1">
      <c r="B67" s="100" t="s">
        <v>185</v>
      </c>
      <c r="C67" s="101">
        <f>IF(OR(K8="[Select Device]",K7="[Select Configuration]")," ",(K35/$K$32)*1000)</f>
        <v>4000</v>
      </c>
      <c r="D67" s="102" t="s">
        <v>288</v>
      </c>
      <c r="E67" s="12">
        <v>0</v>
      </c>
      <c r="F67" s="465" t="s">
        <v>274</v>
      </c>
      <c r="G67" s="466"/>
      <c r="H67" s="612">
        <f>IF(OR(K8="[Select Device]",K7="[Select Configuration]")," ",G32*VLOOKUP(K8,Devices[],COLUMN(Devices[Gain]),0))</f>
        <v>985.67565708498637</v>
      </c>
      <c r="I67" s="613"/>
      <c r="J67" s="465" t="s">
        <v>185</v>
      </c>
      <c r="K67" s="466"/>
      <c r="L67" s="103">
        <f>IF(OR(K8="[Select Device]",K7="[Select Configuration]")," ",SQRT(SUMSQ($E$71,$C$67,$H$70)))</f>
        <v>4000.0285262067432</v>
      </c>
      <c r="N67" t="str">
        <f>IF(OR(K8="[Select Device]",K7="[Select Configuration]")," ",IF(K7="Integrated Resistor Divider","Please set Resistor Divider and Sense Resistor Temperature Drift to 0 ppm/C. HV Resistors and Sense Resistors drift equally and cancel out.", " "))</f>
        <v xml:space="preserve"> </v>
      </c>
      <c r="BI67" s="22" t="s">
        <v>315</v>
      </c>
      <c r="BJ67" s="104">
        <f>ABS((BJ53-BJ51)/BJ51)</f>
        <v>0</v>
      </c>
      <c r="BS67" s="54">
        <v>34.799999999999997</v>
      </c>
      <c r="BT67" s="17">
        <f>Table3[[#This Row],[R]]*10</f>
        <v>348</v>
      </c>
      <c r="BU67" s="18">
        <f>Table3[[#This Row],[R2]]*10</f>
        <v>3480</v>
      </c>
      <c r="BV67" s="18">
        <f>Table3[[#This Row],[R3]]*10</f>
        <v>34800</v>
      </c>
      <c r="BW67" s="18">
        <f>Table3[[#This Row],[R4]]*10</f>
        <v>348000</v>
      </c>
      <c r="BX67" s="18">
        <f>Table3[[#This Row],[R]]/10</f>
        <v>3.4799999999999995</v>
      </c>
      <c r="BY67" s="18">
        <f>Table3[[#This Row],[R6]]/10</f>
        <v>0.34799999999999998</v>
      </c>
      <c r="BZ67" s="18">
        <f>Table3[[#This Row],[R7]]/10</f>
        <v>3.4799999999999998E-2</v>
      </c>
      <c r="CA67" s="18">
        <f>Table3[[#This Row],[R8]]/10</f>
        <v>3.4799999999999996E-3</v>
      </c>
      <c r="CB67" s="18">
        <f>Table3[[#This Row],[R9]]/10</f>
        <v>3.4799999999999995E-4</v>
      </c>
    </row>
    <row r="68" spans="2:80" ht="17.649999999999999" thickBot="1">
      <c r="B68" s="100" t="s">
        <v>186</v>
      </c>
      <c r="C68" s="101">
        <f>IF(OR(K8="[Select Device]",K7="[Select Configuration]")," ",(H66*K36/$K$32)*1000)</f>
        <v>1260.4797871325727</v>
      </c>
      <c r="D68" s="102" t="s">
        <v>293</v>
      </c>
      <c r="E68" s="9">
        <v>0</v>
      </c>
      <c r="F68" s="468" t="s">
        <v>277</v>
      </c>
      <c r="G68" s="469"/>
      <c r="H68" s="614">
        <f>IF(OR(K8="[Select Device]",K7="[Select Configuration]")," ",H67*H66)</f>
        <v>1224.6273315298315</v>
      </c>
      <c r="I68" s="615"/>
      <c r="J68" s="465" t="s">
        <v>186</v>
      </c>
      <c r="K68" s="466"/>
      <c r="L68" s="103">
        <f>IF(OR(K8="[Select Device]",K7="[Select Configuration]")," ",SQRT(SUMSQ($C$68,$H$71)))</f>
        <v>3577.3771534177486</v>
      </c>
      <c r="BI68" s="22" t="s">
        <v>316</v>
      </c>
      <c r="BJ68" s="105">
        <f>ABS((BJ54-BJ51)/BJ51)</f>
        <v>0</v>
      </c>
      <c r="BS68" s="54">
        <v>35.700000000000003</v>
      </c>
      <c r="BT68" s="17">
        <f>Table3[[#This Row],[R]]*10</f>
        <v>357</v>
      </c>
      <c r="BU68" s="18">
        <f>Table3[[#This Row],[R2]]*10</f>
        <v>3570</v>
      </c>
      <c r="BV68" s="18">
        <f>Table3[[#This Row],[R3]]*10</f>
        <v>35700</v>
      </c>
      <c r="BW68" s="18">
        <f>Table3[[#This Row],[R4]]*10</f>
        <v>357000</v>
      </c>
      <c r="BX68" s="18">
        <f>Table3[[#This Row],[R]]/10</f>
        <v>3.5700000000000003</v>
      </c>
      <c r="BY68" s="18">
        <f>Table3[[#This Row],[R6]]/10</f>
        <v>0.35700000000000004</v>
      </c>
      <c r="BZ68" s="18">
        <f>Table3[[#This Row],[R7]]/10</f>
        <v>3.5700000000000003E-2</v>
      </c>
      <c r="CA68" s="18">
        <f>Table3[[#This Row],[R8]]/10</f>
        <v>3.5700000000000003E-3</v>
      </c>
      <c r="CB68" s="18">
        <f>Table3[[#This Row],[R9]]/10</f>
        <v>3.57E-4</v>
      </c>
    </row>
    <row r="69" spans="2:80" ht="17.649999999999999" thickBot="1">
      <c r="B69" s="100" t="s">
        <v>187</v>
      </c>
      <c r="C69" s="101">
        <f>IF(OR(K8="[Select Device]",K7="[Select Configuration]")," ",(H66*K37/$K$32)*1000)</f>
        <v>1260.4797871325727</v>
      </c>
      <c r="D69" s="106" t="s">
        <v>294</v>
      </c>
      <c r="E69" s="13">
        <v>0</v>
      </c>
      <c r="F69" s="492" t="s">
        <v>184</v>
      </c>
      <c r="G69" s="466"/>
      <c r="H69" s="486">
        <f>IF(OR(K8="[Select Device]",K7="[Select Configuration]")," ",L57*2*H68/100/$H$68*1000000)</f>
        <v>2000.0000000000005</v>
      </c>
      <c r="I69" s="486"/>
      <c r="J69" s="465" t="s">
        <v>187</v>
      </c>
      <c r="K69" s="466"/>
      <c r="L69" s="103">
        <f>IF(OR(K8="[Select Device]",K7="[Select Configuration]")," ",SQRT(SUMSQ($C$69,$H$72)))</f>
        <v>1284.2360802861542</v>
      </c>
      <c r="BI69" s="22" t="s">
        <v>317</v>
      </c>
      <c r="BJ69" s="107">
        <f>ABS((BJ59-BJ51)/BJ51)</f>
        <v>0</v>
      </c>
      <c r="BS69" s="54">
        <v>36.5</v>
      </c>
      <c r="BT69" s="17">
        <f>Table3[[#This Row],[R]]*10</f>
        <v>365</v>
      </c>
      <c r="BU69" s="18">
        <f>Table3[[#This Row],[R2]]*10</f>
        <v>3650</v>
      </c>
      <c r="BV69" s="18">
        <f>Table3[[#This Row],[R3]]*10</f>
        <v>36500</v>
      </c>
      <c r="BW69" s="18">
        <f>Table3[[#This Row],[R4]]*10</f>
        <v>365000</v>
      </c>
      <c r="BX69" s="18">
        <f>Table3[[#This Row],[R]]/10</f>
        <v>3.65</v>
      </c>
      <c r="BY69" s="18">
        <f>Table3[[#This Row],[R6]]/10</f>
        <v>0.36499999999999999</v>
      </c>
      <c r="BZ69" s="18">
        <f>Table3[[#This Row],[R7]]/10</f>
        <v>3.6499999999999998E-2</v>
      </c>
      <c r="CA69" s="18">
        <f>Table3[[#This Row],[R8]]/10</f>
        <v>3.6499999999999996E-3</v>
      </c>
      <c r="CB69" s="18">
        <f>Table3[[#This Row],[R9]]/10</f>
        <v>3.6499999999999998E-4</v>
      </c>
    </row>
    <row r="70" spans="2:80" ht="17.649999999999999" thickBot="1">
      <c r="B70" s="100" t="s">
        <v>1</v>
      </c>
      <c r="C70" s="101">
        <f>IF(OR(K8="[Select Device]",K7="[Select Configuration]")," ",(K38/$K$32)*1000)</f>
        <v>200</v>
      </c>
      <c r="D70" s="102" t="s">
        <v>184</v>
      </c>
      <c r="E70" s="108">
        <f>IF(OR(K8="[Select Device]",K7="[Select Configuration]")," ",BJ80*1000000)</f>
        <v>0</v>
      </c>
      <c r="F70" s="492" t="s">
        <v>185</v>
      </c>
      <c r="G70" s="466"/>
      <c r="H70" s="486">
        <f>IF(OR(K8="[Select Device]",K7="[Select Configuration]")," ",L54*Temp_Range/1000/$H$68*1000000)</f>
        <v>15.106636544608772</v>
      </c>
      <c r="I70" s="486"/>
      <c r="J70" s="465" t="s">
        <v>1</v>
      </c>
      <c r="K70" s="466"/>
      <c r="L70" s="103">
        <f>IF(OR(K8="[Select Device]",K7="[Select Configuration]")," ",SQRT(SUMSQ($C$70,$J$88)))</f>
        <v>200</v>
      </c>
      <c r="BI70" s="22" t="s">
        <v>318</v>
      </c>
      <c r="BJ70" s="105">
        <f>ABS((BJ60-BJ51)/BJ51)</f>
        <v>0</v>
      </c>
      <c r="BS70" s="58">
        <v>37.4</v>
      </c>
      <c r="BT70" s="17">
        <f>Table3[[#This Row],[R]]*10</f>
        <v>374</v>
      </c>
      <c r="BU70" s="18">
        <f>Table3[[#This Row],[R2]]*10</f>
        <v>3740</v>
      </c>
      <c r="BV70" s="18">
        <f>Table3[[#This Row],[R3]]*10</f>
        <v>37400</v>
      </c>
      <c r="BW70" s="18">
        <f>Table3[[#This Row],[R4]]*10</f>
        <v>374000</v>
      </c>
      <c r="BX70" s="18">
        <f>Table3[[#This Row],[R]]/10</f>
        <v>3.7399999999999998</v>
      </c>
      <c r="BY70" s="18">
        <f>Table3[[#This Row],[R6]]/10</f>
        <v>0.374</v>
      </c>
      <c r="BZ70" s="18">
        <f>Table3[[#This Row],[R7]]/10</f>
        <v>3.7400000000000003E-2</v>
      </c>
      <c r="CA70" s="18">
        <f>Table3[[#This Row],[R8]]/10</f>
        <v>3.7400000000000003E-3</v>
      </c>
      <c r="CB70" s="18">
        <f>Table3[[#This Row],[R9]]/10</f>
        <v>3.7400000000000004E-4</v>
      </c>
    </row>
    <row r="71" spans="2:80" ht="17.649999999999999" thickBot="1">
      <c r="B71" s="100" t="s">
        <v>2</v>
      </c>
      <c r="C71" s="101">
        <f>IF(OR(K8="[Select Device]",K7="[Select Configuration]")," ",(K39/$K$32)*1000)</f>
        <v>300</v>
      </c>
      <c r="D71" s="106" t="s">
        <v>185</v>
      </c>
      <c r="E71" s="109">
        <f>IF(OR(K8="[Select Device]",K7="[Select Configuration]")," ",(BJ81-BJ80)*1000000)</f>
        <v>0</v>
      </c>
      <c r="F71" s="492" t="s">
        <v>186</v>
      </c>
      <c r="G71" s="466"/>
      <c r="H71" s="486">
        <f>IF(OR(K8="[Select Device]",K7="[Select Configuration]")," ",(L55+L53)*$H$66/$H$68*1000000)</f>
        <v>3347.9572882618286</v>
      </c>
      <c r="I71" s="486"/>
      <c r="J71" s="465" t="s">
        <v>2</v>
      </c>
      <c r="K71" s="466"/>
      <c r="L71" s="103">
        <f>IF(OR(K8="[Select Device]",K7="[Select Configuration]")," ",SQRT(SUMSQ($C$71,$J$89)))</f>
        <v>300</v>
      </c>
      <c r="BI71" s="22" t="s">
        <v>319</v>
      </c>
      <c r="BJ71" s="105">
        <f>ABS((BJ61-BJ51)/BJ51)</f>
        <v>0</v>
      </c>
      <c r="BS71" s="48">
        <v>38.299999999999997</v>
      </c>
      <c r="BT71" s="17">
        <f>Table3[[#This Row],[R]]*10</f>
        <v>383</v>
      </c>
      <c r="BU71" s="18">
        <f>Table3[[#This Row],[R2]]*10</f>
        <v>3830</v>
      </c>
      <c r="BV71" s="18">
        <f>Table3[[#This Row],[R3]]*10</f>
        <v>38300</v>
      </c>
      <c r="BW71" s="18">
        <f>Table3[[#This Row],[R4]]*10</f>
        <v>383000</v>
      </c>
      <c r="BX71" s="18">
        <f>Table3[[#This Row],[R]]/10</f>
        <v>3.8299999999999996</v>
      </c>
      <c r="BY71" s="18">
        <f>Table3[[#This Row],[R6]]/10</f>
        <v>0.38299999999999995</v>
      </c>
      <c r="BZ71" s="18">
        <f>Table3[[#This Row],[R7]]/10</f>
        <v>3.8299999999999994E-2</v>
      </c>
      <c r="CA71" s="18">
        <f>Table3[[#This Row],[R8]]/10</f>
        <v>3.8299999999999992E-3</v>
      </c>
      <c r="CB71" s="18">
        <f>Table3[[#This Row],[R9]]/10</f>
        <v>3.8299999999999993E-4</v>
      </c>
    </row>
    <row r="72" spans="2:80" ht="17.649999999999999" thickBot="1">
      <c r="B72" s="110" t="s">
        <v>325</v>
      </c>
      <c r="C72" s="111">
        <f>IF(OR(K8="[Select Device]",K7="[Select Configuration]")," ",(H66*K40/$K$32)*1000+(K41/$K$32)*1000+(H66*K42/$K$32)*1000+(H66*K43/$K$32)*1000)</f>
        <v>289.08148553210918</v>
      </c>
      <c r="D72" s="112"/>
      <c r="E72" s="113"/>
      <c r="F72" s="493" t="s">
        <v>187</v>
      </c>
      <c r="G72" s="491"/>
      <c r="H72" s="522">
        <f>IF(OR(K8="[Select Device]",K7="[Select Configuration]")," ",(L56*Temp_Range/1000*$H$66/$H$68*1000000)+L54*1000)</f>
        <v>245.87195069582336</v>
      </c>
      <c r="I72" s="522"/>
      <c r="J72" s="490" t="s">
        <v>188</v>
      </c>
      <c r="K72" s="491"/>
      <c r="L72" s="114">
        <f>IF(OR(K8="[Select Device]",K7="[Select Configuration]")," ",SQRT(SUMSQ($C$72,$J$90)))</f>
        <v>289.08148553210918</v>
      </c>
      <c r="BI72" s="22" t="s">
        <v>320</v>
      </c>
      <c r="BJ72" s="105">
        <f>ABS((BJ62-BJ51)/BJ51)</f>
        <v>0</v>
      </c>
      <c r="BS72" s="54">
        <v>39.200000000000003</v>
      </c>
      <c r="BT72" s="17">
        <f>Table3[[#This Row],[R]]*10</f>
        <v>392</v>
      </c>
      <c r="BU72" s="18">
        <f>Table3[[#This Row],[R2]]*10</f>
        <v>3920</v>
      </c>
      <c r="BV72" s="18">
        <f>Table3[[#This Row],[R3]]*10</f>
        <v>39200</v>
      </c>
      <c r="BW72" s="18">
        <f>Table3[[#This Row],[R4]]*10</f>
        <v>392000</v>
      </c>
      <c r="BX72" s="18">
        <f>Table3[[#This Row],[R]]/10</f>
        <v>3.9200000000000004</v>
      </c>
      <c r="BY72" s="18">
        <f>Table3[[#This Row],[R6]]/10</f>
        <v>0.39200000000000002</v>
      </c>
      <c r="BZ72" s="18">
        <f>Table3[[#This Row],[R7]]/10</f>
        <v>3.9199999999999999E-2</v>
      </c>
      <c r="CA72" s="18">
        <f>Table3[[#This Row],[R8]]/10</f>
        <v>3.9199999999999999E-3</v>
      </c>
      <c r="CB72" s="18">
        <f>Table3[[#This Row],[R9]]/10</f>
        <v>3.9199999999999999E-4</v>
      </c>
    </row>
    <row r="73" spans="2:80" ht="17.649999999999999" thickBot="1">
      <c r="B73" s="76" t="s">
        <v>532</v>
      </c>
      <c r="C73" s="115"/>
      <c r="D73" s="434"/>
      <c r="E73" s="392" t="s">
        <v>354</v>
      </c>
      <c r="F73" s="496" t="s">
        <v>280</v>
      </c>
      <c r="G73" s="497"/>
      <c r="H73" s="496" t="s">
        <v>355</v>
      </c>
      <c r="I73" s="497"/>
      <c r="J73" s="496" t="s">
        <v>356</v>
      </c>
      <c r="K73" s="498"/>
      <c r="L73" s="116" t="s">
        <v>289</v>
      </c>
      <c r="BI73" s="22" t="s">
        <v>321</v>
      </c>
      <c r="BJ73" s="105">
        <f>ABS((BJ63-BJ51)/BJ51)</f>
        <v>0</v>
      </c>
      <c r="BS73" s="54">
        <v>40.200000000000003</v>
      </c>
      <c r="BT73" s="17">
        <f>Table3[[#This Row],[R]]*10</f>
        <v>402</v>
      </c>
      <c r="BU73" s="18">
        <f>Table3[[#This Row],[R2]]*10</f>
        <v>4020</v>
      </c>
      <c r="BV73" s="18">
        <f>Table3[[#This Row],[R3]]*10</f>
        <v>40200</v>
      </c>
      <c r="BW73" s="18">
        <f>Table3[[#This Row],[R4]]*10</f>
        <v>402000</v>
      </c>
      <c r="BX73" s="18">
        <f>Table3[[#This Row],[R]]/10</f>
        <v>4.0200000000000005</v>
      </c>
      <c r="BY73" s="18">
        <f>Table3[[#This Row],[R6]]/10</f>
        <v>0.40200000000000002</v>
      </c>
      <c r="BZ73" s="18">
        <f>Table3[[#This Row],[R7]]/10</f>
        <v>4.02E-2</v>
      </c>
      <c r="CA73" s="18">
        <f>Table3[[#This Row],[R8]]/10</f>
        <v>4.0200000000000001E-3</v>
      </c>
      <c r="CB73" s="18">
        <f>Table3[[#This Row],[R9]]/10</f>
        <v>4.0200000000000001E-4</v>
      </c>
    </row>
    <row r="74" spans="2:80" ht="17.649999999999999" thickBot="1">
      <c r="B74" s="120" t="s">
        <v>301</v>
      </c>
      <c r="C74" s="121"/>
      <c r="D74" s="121"/>
      <c r="E74" s="428">
        <f>IF(OR(K8="[Select Device]",K7="[Select Configuration]")," ",E78/3)</f>
        <v>2072.5905937430402</v>
      </c>
      <c r="F74" s="459">
        <f>IF(OR(K8="[Select Device]",K7="[Select Configuration]")," ",E74/1000000)</f>
        <v>2.0725905937430404E-3</v>
      </c>
      <c r="G74" s="459"/>
      <c r="H74" s="488">
        <f>IF(OR(K8="[Select Device]",K7="[Select Configuration]")," ",F74*$G$32)</f>
        <v>2.0429020953558332</v>
      </c>
      <c r="I74" s="489"/>
      <c r="J74" s="487">
        <f>IF(OR(K8="[Select Device]",K7="[Select Configuration]")," ",F74*H$68)</f>
        <v>2.5381510881693687</v>
      </c>
      <c r="K74" s="487"/>
      <c r="L74" s="429">
        <f>IF(OR(K8="[Select Device]",K7="[Select Configuration]")," ",(H74/$G$32)*$K$9)</f>
        <v>0.41451811874860811</v>
      </c>
      <c r="BI74" s="49" t="s">
        <v>322</v>
      </c>
      <c r="BJ74" s="119">
        <f>ABS((BJ64-BJ51)/BJ51)</f>
        <v>0</v>
      </c>
      <c r="BS74" s="54">
        <v>41.2</v>
      </c>
      <c r="BT74" s="17">
        <f>Table3[[#This Row],[R]]*10</f>
        <v>412</v>
      </c>
      <c r="BU74" s="18">
        <f>Table3[[#This Row],[R2]]*10</f>
        <v>4120</v>
      </c>
      <c r="BV74" s="18">
        <f>Table3[[#This Row],[R3]]*10</f>
        <v>41200</v>
      </c>
      <c r="BW74" s="18">
        <f>Table3[[#This Row],[R4]]*10</f>
        <v>412000</v>
      </c>
      <c r="BX74" s="18">
        <f>Table3[[#This Row],[R]]/10</f>
        <v>4.12</v>
      </c>
      <c r="BY74" s="18">
        <f>Table3[[#This Row],[R6]]/10</f>
        <v>0.41200000000000003</v>
      </c>
      <c r="BZ74" s="18">
        <f>Table3[[#This Row],[R7]]/10</f>
        <v>4.1200000000000001E-2</v>
      </c>
      <c r="CA74" s="18">
        <f>Table3[[#This Row],[R8]]/10</f>
        <v>4.1200000000000004E-3</v>
      </c>
      <c r="CB74" s="18">
        <f>Table3[[#This Row],[R9]]/10</f>
        <v>4.1200000000000004E-4</v>
      </c>
    </row>
    <row r="75" spans="2:80" ht="17.649999999999999" thickBot="1">
      <c r="B75" s="120" t="s">
        <v>285</v>
      </c>
      <c r="C75" s="120"/>
      <c r="D75" s="121"/>
      <c r="E75" s="133">
        <f>IF(OR(K8="[Select Device]",K7="[Select Configuration]")," ",E79/3)</f>
        <v>1695.1911929420264</v>
      </c>
      <c r="F75" s="441">
        <f>IF(OR(K8="[Select Device]",K7="[Select Configuration]")," ",E75/1000000)</f>
        <v>1.6951911929420265E-3</v>
      </c>
      <c r="G75" s="441"/>
      <c r="H75" s="442">
        <f>IF(OR(K8="[Select Device]",K7="[Select Configuration]")," ",F75*$G$32)</f>
        <v>1.6709086929878139</v>
      </c>
      <c r="I75" s="443"/>
      <c r="J75" s="444">
        <f>IF(OR(K8="[Select Device]",K7="[Select Configuration]")," ",F75*H$68)</f>
        <v>2.0759774670454658</v>
      </c>
      <c r="K75" s="444"/>
      <c r="L75" s="430">
        <f>IF(OR(K8="[Select Device]",K7="[Select Configuration]")," ",(H75/$G$32)*$K$9)</f>
        <v>0.33903823858840532</v>
      </c>
      <c r="BI75" s="565" t="s">
        <v>312</v>
      </c>
      <c r="BJ75" s="566"/>
      <c r="BS75" s="54">
        <v>42.2</v>
      </c>
      <c r="BT75" s="17">
        <f>Table3[[#This Row],[R]]*10</f>
        <v>422</v>
      </c>
      <c r="BU75" s="18">
        <f>Table3[[#This Row],[R2]]*10</f>
        <v>4220</v>
      </c>
      <c r="BV75" s="18">
        <f>Table3[[#This Row],[R3]]*10</f>
        <v>42200</v>
      </c>
      <c r="BW75" s="18">
        <f>Table3[[#This Row],[R4]]*10</f>
        <v>422000</v>
      </c>
      <c r="BX75" s="18">
        <f>Table3[[#This Row],[R]]/10</f>
        <v>4.2200000000000006</v>
      </c>
      <c r="BY75" s="18">
        <f>Table3[[#This Row],[R6]]/10</f>
        <v>0.42200000000000004</v>
      </c>
      <c r="BZ75" s="18">
        <f>Table3[[#This Row],[R7]]/10</f>
        <v>4.2200000000000001E-2</v>
      </c>
      <c r="CA75" s="18">
        <f>Table3[[#This Row],[R8]]/10</f>
        <v>4.2199999999999998E-3</v>
      </c>
      <c r="CB75" s="18">
        <f>Table3[[#This Row],[R9]]/10</f>
        <v>4.2199999999999996E-4</v>
      </c>
    </row>
    <row r="76" spans="2:80" ht="17.649999999999999" thickBot="1">
      <c r="B76" s="122" t="s">
        <v>286</v>
      </c>
      <c r="C76" s="123"/>
      <c r="D76" s="124"/>
      <c r="E76" s="427">
        <f>IF(OR(K8="[Select Device]",K7="[Select Configuration]")," ",E80/3)</f>
        <v>1405.5244383177735</v>
      </c>
      <c r="F76" s="460">
        <f>IF(OR(K8="[Select Device]",K7="[Select Configuration]")," ",E76/1000000)</f>
        <v>1.4055244383177736E-3</v>
      </c>
      <c r="G76" s="460"/>
      <c r="H76" s="446">
        <f>IF(OR(K8="[Select Device]",K7="[Select Configuration]")," ",F76*$G$32)</f>
        <v>1.3853912242878779</v>
      </c>
      <c r="I76" s="447"/>
      <c r="J76" s="448">
        <f>IF(OR(K8="[Select Device]",K7="[Select Configuration]")," ",F76*H$68)</f>
        <v>1.7212436422970603</v>
      </c>
      <c r="K76" s="448"/>
      <c r="L76" s="431">
        <f>IF(OR(K8="[Select Device]",K7="[Select Configuration]")," ",(H76/$G$32)*$K$9)</f>
        <v>0.28110488766355474</v>
      </c>
      <c r="BI76" s="22" t="s">
        <v>94</v>
      </c>
      <c r="BJ76" s="41">
        <f>K9*K19/(K19+BJ36)*1000</f>
        <v>985.51970641383866</v>
      </c>
      <c r="BS76" s="54">
        <v>43.2</v>
      </c>
      <c r="BT76" s="17">
        <f>Table3[[#This Row],[R]]*10</f>
        <v>432</v>
      </c>
      <c r="BU76" s="18">
        <f>Table3[[#This Row],[R2]]*10</f>
        <v>4320</v>
      </c>
      <c r="BV76" s="18">
        <f>Table3[[#This Row],[R3]]*10</f>
        <v>43200</v>
      </c>
      <c r="BW76" s="18">
        <f>Table3[[#This Row],[R4]]*10</f>
        <v>432000</v>
      </c>
      <c r="BX76" s="18">
        <f>Table3[[#This Row],[R]]/10</f>
        <v>4.32</v>
      </c>
      <c r="BY76" s="18">
        <f>Table3[[#This Row],[R6]]/10</f>
        <v>0.43200000000000005</v>
      </c>
      <c r="BZ76" s="18">
        <f>Table3[[#This Row],[R7]]/10</f>
        <v>4.3200000000000002E-2</v>
      </c>
      <c r="CA76" s="18">
        <f>Table3[[#This Row],[R8]]/10</f>
        <v>4.3200000000000001E-3</v>
      </c>
      <c r="CB76" s="18">
        <f>Table3[[#This Row],[R9]]/10</f>
        <v>4.3199999999999998E-4</v>
      </c>
    </row>
    <row r="77" spans="2:80" ht="18" hidden="1" customHeight="1" thickBot="1">
      <c r="B77" s="120" t="s">
        <v>284</v>
      </c>
      <c r="C77" s="121"/>
      <c r="D77" s="121"/>
      <c r="E77" s="133">
        <f>SQRT(SUMSQ(L71,L70))</f>
        <v>360.55512754639892</v>
      </c>
      <c r="F77" s="134"/>
      <c r="G77" s="432">
        <f>E77/1000000</f>
        <v>3.6055512754639893E-4</v>
      </c>
      <c r="H77" s="391">
        <f t="shared" ref="H77" si="0">G77*$G$32</f>
        <v>0.35539041225965784</v>
      </c>
      <c r="I77" s="135"/>
      <c r="J77" s="433">
        <f>G77*H$68</f>
        <v>0.44154566371654458</v>
      </c>
      <c r="K77" s="134"/>
      <c r="L77" s="430">
        <f t="shared" ref="L77" si="1">(H77/$G$32)*$K$9</f>
        <v>7.211102550927978E-2</v>
      </c>
      <c r="BI77" s="22" t="s">
        <v>303</v>
      </c>
      <c r="BJ77" s="104">
        <f>ABS((BJ67-BJ66)/BJ66)</f>
        <v>1</v>
      </c>
      <c r="BS77" s="54">
        <v>44.2</v>
      </c>
      <c r="BT77" s="17">
        <f>Table3[[#This Row],[R]]*10</f>
        <v>442</v>
      </c>
      <c r="BU77" s="18">
        <f>Table3[[#This Row],[R2]]*10</f>
        <v>4420</v>
      </c>
      <c r="BV77" s="18">
        <f>Table3[[#This Row],[R3]]*10</f>
        <v>44200</v>
      </c>
      <c r="BW77" s="18">
        <f>Table3[[#This Row],[R4]]*10</f>
        <v>442000</v>
      </c>
      <c r="BX77" s="18">
        <f>Table3[[#This Row],[R]]/10</f>
        <v>4.42</v>
      </c>
      <c r="BY77" s="18">
        <f>Table3[[#This Row],[R6]]/10</f>
        <v>0.442</v>
      </c>
      <c r="BZ77" s="18">
        <f>Table3[[#This Row],[R7]]/10</f>
        <v>4.4200000000000003E-2</v>
      </c>
      <c r="CA77" s="18">
        <f>Table3[[#This Row],[R8]]/10</f>
        <v>4.4200000000000003E-3</v>
      </c>
      <c r="CB77" s="18">
        <f>Table3[[#This Row],[R9]]/10</f>
        <v>4.4200000000000001E-4</v>
      </c>
    </row>
    <row r="78" spans="2:80" ht="17.649999999999999" thickBot="1">
      <c r="B78" s="117" t="s">
        <v>529</v>
      </c>
      <c r="C78" s="118"/>
      <c r="D78" s="118"/>
      <c r="E78" s="428">
        <f>IF(OR(K8="[Select Device]",K7="[Select Configuration]")," ",SQRT(SUMSQ(L66,L67,L68,L69,L70,L71,L72)))</f>
        <v>6217.7717812291212</v>
      </c>
      <c r="F78" s="459">
        <f>IF(OR(K8="[Select Device]",K7="[Select Configuration]")," ",E78/1000000)</f>
        <v>6.2177717812291209E-3</v>
      </c>
      <c r="G78" s="459"/>
      <c r="H78" s="488">
        <f>IF(OR(K8="[Select Device]",K7="[Select Configuration]")," ",F78*$G$32)</f>
        <v>6.1287062860674997</v>
      </c>
      <c r="I78" s="489"/>
      <c r="J78" s="487">
        <f>IF(OR(K8="[Select Device]",K7="[Select Configuration]")," ",F78*H$68)</f>
        <v>7.6144532645081053</v>
      </c>
      <c r="K78" s="487"/>
      <c r="L78" s="429">
        <f>IF(OR(K8="[Select Device]",K7="[Select Configuration]")," ",(H78/$G$32)*$K$9)</f>
        <v>1.2435543562458242</v>
      </c>
      <c r="BI78" s="22" t="s">
        <v>313</v>
      </c>
      <c r="BJ78" s="41">
        <f>K9*BJ45/(BJ45+BJ35)*1000</f>
        <v>985.51970641383866</v>
      </c>
      <c r="BS78" s="58">
        <v>45.3</v>
      </c>
      <c r="BT78" s="17">
        <f>Table3[[#This Row],[R]]*10</f>
        <v>453</v>
      </c>
      <c r="BU78" s="18">
        <f>Table3[[#This Row],[R2]]*10</f>
        <v>4530</v>
      </c>
      <c r="BV78" s="18">
        <f>Table3[[#This Row],[R3]]*10</f>
        <v>45300</v>
      </c>
      <c r="BW78" s="18">
        <f>Table3[[#This Row],[R4]]*10</f>
        <v>453000</v>
      </c>
      <c r="BX78" s="18">
        <f>Table3[[#This Row],[R]]/10</f>
        <v>4.5299999999999994</v>
      </c>
      <c r="BY78" s="18">
        <f>Table3[[#This Row],[R6]]/10</f>
        <v>0.45299999999999996</v>
      </c>
      <c r="BZ78" s="18">
        <f>Table3[[#This Row],[R7]]/10</f>
        <v>4.5299999999999993E-2</v>
      </c>
      <c r="CA78" s="18">
        <f>Table3[[#This Row],[R8]]/10</f>
        <v>4.5299999999999993E-3</v>
      </c>
      <c r="CB78" s="18">
        <f>Table3[[#This Row],[R9]]/10</f>
        <v>4.5299999999999995E-4</v>
      </c>
    </row>
    <row r="79" spans="2:80" ht="17.649999999999999" thickBot="1">
      <c r="B79" s="120" t="s">
        <v>530</v>
      </c>
      <c r="C79" s="121"/>
      <c r="D79" s="121"/>
      <c r="E79" s="133">
        <f>IF(OR(K8="[Select Device]",K7="[Select Configuration]")," ",SQRT(SUMSQ(L66,L67,L69,L70,L71,L72)))</f>
        <v>5085.573578826079</v>
      </c>
      <c r="F79" s="441">
        <f>IF(OR(K8="[Select Device]",K7="[Select Configuration]")," ",E79/1000000)</f>
        <v>5.0855735788260794E-3</v>
      </c>
      <c r="G79" s="441"/>
      <c r="H79" s="442">
        <f>IF(OR(K8="[Select Device]",K7="[Select Configuration]")," ",F79*$G$32)</f>
        <v>5.0127260789634418</v>
      </c>
      <c r="I79" s="443"/>
      <c r="J79" s="444">
        <f>IF(OR(K8="[Select Device]",K7="[Select Configuration]")," ",F79*H$68)</f>
        <v>6.227932401136397</v>
      </c>
      <c r="K79" s="444"/>
      <c r="L79" s="430">
        <f>IF(OR(K8="[Select Device]",K7="[Select Configuration]")," ",(H79/$G$32)*$K$9)</f>
        <v>1.0171147157652158</v>
      </c>
      <c r="BI79" s="22" t="s">
        <v>314</v>
      </c>
      <c r="BJ79" s="41">
        <f>K9*BJ48/(BJ48+BJ39)*1000</f>
        <v>985.51970641383866</v>
      </c>
      <c r="BS79" s="48">
        <v>46.4</v>
      </c>
      <c r="BT79" s="17">
        <f>Table3[[#This Row],[R]]*10</f>
        <v>464</v>
      </c>
      <c r="BU79" s="18">
        <f>Table3[[#This Row],[R2]]*10</f>
        <v>4640</v>
      </c>
      <c r="BV79" s="18">
        <f>Table3[[#This Row],[R3]]*10</f>
        <v>46400</v>
      </c>
      <c r="BW79" s="18">
        <f>Table3[[#This Row],[R4]]*10</f>
        <v>464000</v>
      </c>
      <c r="BX79" s="18">
        <f>Table3[[#This Row],[R]]/10</f>
        <v>4.6399999999999997</v>
      </c>
      <c r="BY79" s="18">
        <f>Table3[[#This Row],[R6]]/10</f>
        <v>0.46399999999999997</v>
      </c>
      <c r="BZ79" s="18">
        <f>Table3[[#This Row],[R7]]/10</f>
        <v>4.6399999999999997E-2</v>
      </c>
      <c r="CA79" s="18">
        <f>Table3[[#This Row],[R8]]/10</f>
        <v>4.64E-3</v>
      </c>
      <c r="CB79" s="18">
        <f>Table3[[#This Row],[R9]]/10</f>
        <v>4.64E-4</v>
      </c>
    </row>
    <row r="80" spans="2:80" ht="17.649999999999999" thickBot="1">
      <c r="B80" s="123" t="s">
        <v>531</v>
      </c>
      <c r="C80" s="124"/>
      <c r="D80" s="124"/>
      <c r="E80" s="427">
        <f>IF(OR(K8="[Select Device]",K7="[Select Configuration]")," ",SQRT(SUMSQ(L67,L69,L70,L71)))</f>
        <v>4216.5733149533207</v>
      </c>
      <c r="F80" s="445">
        <f>IF(OR(K8="[Select Device]",K7="[Select Configuration]")," ",E80/1000000)</f>
        <v>4.2165733149533207E-3</v>
      </c>
      <c r="G80" s="445"/>
      <c r="H80" s="446">
        <f>IF(OR(K8="[Select Device]",K7="[Select Configuration]")," ",F80*$G$32)</f>
        <v>4.156173672863634</v>
      </c>
      <c r="I80" s="447"/>
      <c r="J80" s="448">
        <f>IF(OR(K8="[Select Device]",K7="[Select Configuration]")," ",F80*H$68)</f>
        <v>5.1637309268911809</v>
      </c>
      <c r="K80" s="448"/>
      <c r="L80" s="431">
        <f>IF(OR(K8="[Select Device]",K7="[Select Configuration]")," ",(H80/$G$32)*$K$9)</f>
        <v>0.84331466299066427</v>
      </c>
      <c r="BI80" s="22" t="s">
        <v>323</v>
      </c>
      <c r="BJ80" s="105">
        <f>ABS((BJ78-BJ76)/BJ76)</f>
        <v>0</v>
      </c>
      <c r="BS80" s="54">
        <v>47.5</v>
      </c>
      <c r="BT80" s="17">
        <f>Table3[[#This Row],[R]]*10</f>
        <v>475</v>
      </c>
      <c r="BU80" s="18">
        <f>Table3[[#This Row],[R2]]*10</f>
        <v>4750</v>
      </c>
      <c r="BV80" s="18">
        <f>Table3[[#This Row],[R3]]*10</f>
        <v>47500</v>
      </c>
      <c r="BW80" s="18">
        <f>Table3[[#This Row],[R4]]*10</f>
        <v>475000</v>
      </c>
      <c r="BX80" s="18">
        <f>Table3[[#This Row],[R]]/10</f>
        <v>4.75</v>
      </c>
      <c r="BY80" s="18">
        <f>Table3[[#This Row],[R6]]/10</f>
        <v>0.47499999999999998</v>
      </c>
      <c r="BZ80" s="18">
        <f>Table3[[#This Row],[R7]]/10</f>
        <v>4.7500000000000001E-2</v>
      </c>
      <c r="CA80" s="18">
        <f>Table3[[#This Row],[R8]]/10</f>
        <v>4.7499999999999999E-3</v>
      </c>
      <c r="CB80" s="18">
        <f>Table3[[#This Row],[R9]]/10</f>
        <v>4.75E-4</v>
      </c>
    </row>
    <row r="81" spans="2:80" ht="17.649999999999999" thickBot="1">
      <c r="B81" s="120" t="s">
        <v>281</v>
      </c>
      <c r="C81" s="121"/>
      <c r="D81" s="121"/>
      <c r="E81" s="133">
        <f>IF(OR(K8="[Select Device]",K7="[Select Configuration]")," ",(SUM(L66,L67,L68,L69,L70,L71,L72)))</f>
        <v>12479.150370188947</v>
      </c>
      <c r="F81" s="441">
        <f>IF(OR(K8="[Select Device]",K7="[Select Configuration]")," ",E81/1000000)</f>
        <v>1.2479150370188947E-2</v>
      </c>
      <c r="G81" s="441"/>
      <c r="H81" s="442">
        <f>IF(OR(K8="[Select Device]",K7="[Select Configuration]")," ",F81*$G$32)</f>
        <v>12.300394740998341</v>
      </c>
      <c r="I81" s="443"/>
      <c r="J81" s="444">
        <f>IF(OR(K8="[Select Device]",K7="[Select Configuration]")," ",F81*H$68)</f>
        <v>15.282308617603999</v>
      </c>
      <c r="K81" s="444"/>
      <c r="L81" s="430">
        <f>IF(OR(K8="[Select Device]",K7="[Select Configuration]")," ",(H81/$G$32)*$K$9)</f>
        <v>2.4958300740377894</v>
      </c>
      <c r="BI81" s="49" t="s">
        <v>324</v>
      </c>
      <c r="BJ81" s="125">
        <f>ABS((BJ79-BJ76)/BJ76)</f>
        <v>0</v>
      </c>
      <c r="BS81" s="54">
        <v>48.7</v>
      </c>
      <c r="BT81" s="17">
        <f>Table3[[#This Row],[R]]*10</f>
        <v>487</v>
      </c>
      <c r="BU81" s="18">
        <f>Table3[[#This Row],[R2]]*10</f>
        <v>4870</v>
      </c>
      <c r="BV81" s="18">
        <f>Table3[[#This Row],[R3]]*10</f>
        <v>48700</v>
      </c>
      <c r="BW81" s="18">
        <f>Table3[[#This Row],[R4]]*10</f>
        <v>487000</v>
      </c>
      <c r="BX81" s="18">
        <f>Table3[[#This Row],[R]]/10</f>
        <v>4.87</v>
      </c>
      <c r="BY81" s="18">
        <f>Table3[[#This Row],[R6]]/10</f>
        <v>0.48699999999999999</v>
      </c>
      <c r="BZ81" s="18">
        <f>Table3[[#This Row],[R7]]/10</f>
        <v>4.87E-2</v>
      </c>
      <c r="CA81" s="18">
        <f>Table3[[#This Row],[R8]]/10</f>
        <v>4.8700000000000002E-3</v>
      </c>
      <c r="CB81" s="18">
        <f>Table3[[#This Row],[R9]]/10</f>
        <v>4.8700000000000002E-4</v>
      </c>
    </row>
    <row r="82" spans="2:80" ht="17.649999999999999" thickBot="1">
      <c r="B82" s="120" t="s">
        <v>282</v>
      </c>
      <c r="C82" s="121"/>
      <c r="D82" s="121"/>
      <c r="E82" s="133">
        <f>IF(OR(K8="[Select Device]",K7="[Select Configuration]")," ",(SUM(L66,L67,L69,L70,L71,L72)))</f>
        <v>8901.7732167711965</v>
      </c>
      <c r="F82" s="441">
        <f>IF(OR(K8="[Select Device]",K7="[Select Configuration]")," ",E82/1000000)</f>
        <v>8.9017732167711965E-3</v>
      </c>
      <c r="G82" s="441"/>
      <c r="H82" s="442">
        <f>IF(OR(K8="[Select Device]",K7="[Select Configuration]")," ",F82*$G$32)</f>
        <v>8.774261164662482</v>
      </c>
      <c r="I82" s="443"/>
      <c r="J82" s="444">
        <f>IF(OR(K8="[Select Device]",K7="[Select Configuration]")," ",F82*H$68)</f>
        <v>10.901354780338234</v>
      </c>
      <c r="K82" s="444"/>
      <c r="L82" s="430">
        <f>IF(OR(K8="[Select Device]",K7="[Select Configuration]")," ",(H82/$G$32)*$K$9)</f>
        <v>1.7803546433542392</v>
      </c>
      <c r="BS82" s="54">
        <v>49.9</v>
      </c>
      <c r="BT82" s="17">
        <f>Table3[[#This Row],[R]]*10</f>
        <v>499</v>
      </c>
      <c r="BU82" s="18">
        <f>Table3[[#This Row],[R2]]*10</f>
        <v>4990</v>
      </c>
      <c r="BV82" s="18">
        <f>Table3[[#This Row],[R3]]*10</f>
        <v>49900</v>
      </c>
      <c r="BW82" s="18">
        <f>Table3[[#This Row],[R4]]*10</f>
        <v>499000</v>
      </c>
      <c r="BX82" s="18">
        <f>Table3[[#This Row],[R]]/10</f>
        <v>4.99</v>
      </c>
      <c r="BY82" s="18">
        <f>Table3[[#This Row],[R6]]/10</f>
        <v>0.499</v>
      </c>
      <c r="BZ82" s="18">
        <f>Table3[[#This Row],[R7]]/10</f>
        <v>4.99E-2</v>
      </c>
      <c r="CA82" s="18">
        <f>Table3[[#This Row],[R8]]/10</f>
        <v>4.9899999999999996E-3</v>
      </c>
      <c r="CB82" s="18">
        <f>Table3[[#This Row],[R9]]/10</f>
        <v>4.9899999999999999E-4</v>
      </c>
    </row>
    <row r="83" spans="2:80" ht="17.649999999999999" thickBot="1">
      <c r="B83" s="123" t="s">
        <v>283</v>
      </c>
      <c r="C83" s="124"/>
      <c r="D83" s="124"/>
      <c r="E83" s="427">
        <f>IF(OR(K8="[Select Device]",K7="[Select Configuration]")," ",(SUM(L67,L69,L70,L71)))</f>
        <v>5784.2646064928977</v>
      </c>
      <c r="F83" s="445">
        <f>IF(OR(K8="[Select Device]",K7="[Select Configuration]")," ",E83/1000000)</f>
        <v>5.7842646064928975E-3</v>
      </c>
      <c r="G83" s="445"/>
      <c r="H83" s="446">
        <f>IF(OR(K8="[Select Device]",K7="[Select Configuration]")," ",F83*$G$32)</f>
        <v>5.7014088167583168</v>
      </c>
      <c r="I83" s="447"/>
      <c r="J83" s="448">
        <f>IF(OR(K8="[Select Device]",K7="[Select Configuration]")," ",F83*H$68)</f>
        <v>7.0835685299118483</v>
      </c>
      <c r="K83" s="448"/>
      <c r="L83" s="431">
        <f>IF(OR(K8="[Select Device]",K7="[Select Configuration]")," ",(H83/$G$32)*$K$9)</f>
        <v>1.1568529212985794</v>
      </c>
      <c r="BS83" s="54">
        <v>51.1</v>
      </c>
      <c r="BT83" s="17">
        <f>Table3[[#This Row],[R]]*10</f>
        <v>511</v>
      </c>
      <c r="BU83" s="18">
        <f>Table3[[#This Row],[R2]]*10</f>
        <v>5110</v>
      </c>
      <c r="BV83" s="18">
        <f>Table3[[#This Row],[R3]]*10</f>
        <v>51100</v>
      </c>
      <c r="BW83" s="18">
        <f>Table3[[#This Row],[R4]]*10</f>
        <v>511000</v>
      </c>
      <c r="BX83" s="18">
        <f>Table3[[#This Row],[R]]/10</f>
        <v>5.1100000000000003</v>
      </c>
      <c r="BY83" s="18">
        <f>Table3[[#This Row],[R6]]/10</f>
        <v>0.51100000000000001</v>
      </c>
      <c r="BZ83" s="18">
        <f>Table3[[#This Row],[R7]]/10</f>
        <v>5.11E-2</v>
      </c>
      <c r="CA83" s="18">
        <f>Table3[[#This Row],[R8]]/10</f>
        <v>5.11E-3</v>
      </c>
      <c r="CB83" s="18">
        <f>Table3[[#This Row],[R9]]/10</f>
        <v>5.1099999999999995E-4</v>
      </c>
    </row>
    <row r="84" spans="2:80" ht="17.649999999999999" thickBot="1">
      <c r="B84" s="92"/>
      <c r="C84" s="92"/>
      <c r="D84" s="92"/>
      <c r="E84" s="92"/>
      <c r="F84" s="92"/>
      <c r="G84" s="92"/>
      <c r="H84" s="92"/>
      <c r="I84" s="92"/>
      <c r="J84" s="92"/>
      <c r="K84" s="92"/>
      <c r="L84" s="92"/>
      <c r="BS84" s="54">
        <v>52.3</v>
      </c>
      <c r="BT84" s="17">
        <f>Table3[[#This Row],[R]]*10</f>
        <v>523</v>
      </c>
      <c r="BU84" s="18">
        <f>Table3[[#This Row],[R2]]*10</f>
        <v>5230</v>
      </c>
      <c r="BV84" s="18">
        <f>Table3[[#This Row],[R3]]*10</f>
        <v>52300</v>
      </c>
      <c r="BW84" s="18">
        <f>Table3[[#This Row],[R4]]*10</f>
        <v>523000</v>
      </c>
      <c r="BX84" s="18">
        <f>Table3[[#This Row],[R]]/10</f>
        <v>5.2299999999999995</v>
      </c>
      <c r="BY84" s="18">
        <f>Table3[[#This Row],[R6]]/10</f>
        <v>0.52299999999999991</v>
      </c>
      <c r="BZ84" s="18">
        <f>Table3[[#This Row],[R7]]/10</f>
        <v>5.2299999999999992E-2</v>
      </c>
      <c r="CA84" s="18">
        <f>Table3[[#This Row],[R8]]/10</f>
        <v>5.2299999999999994E-3</v>
      </c>
      <c r="CB84" s="18">
        <f>Table3[[#This Row],[R9]]/10</f>
        <v>5.2299999999999992E-4</v>
      </c>
    </row>
    <row r="85" spans="2:80" ht="17.649999999999999" thickBot="1">
      <c r="B85" s="92"/>
      <c r="C85" s="92"/>
      <c r="D85" s="92"/>
      <c r="E85" s="92"/>
      <c r="F85" s="92"/>
      <c r="G85" s="92"/>
      <c r="H85" s="92"/>
      <c r="I85" s="92"/>
      <c r="J85" s="92"/>
      <c r="K85" s="92"/>
      <c r="L85" s="92"/>
      <c r="BS85" s="54">
        <v>53.6</v>
      </c>
      <c r="BT85" s="17">
        <f>Table3[[#This Row],[R]]*10</f>
        <v>536</v>
      </c>
      <c r="BU85" s="18">
        <f>Table3[[#This Row],[R2]]*10</f>
        <v>5360</v>
      </c>
      <c r="BV85" s="18">
        <f>Table3[[#This Row],[R3]]*10</f>
        <v>53600</v>
      </c>
      <c r="BW85" s="18">
        <f>Table3[[#This Row],[R4]]*10</f>
        <v>536000</v>
      </c>
      <c r="BX85" s="18">
        <f>Table3[[#This Row],[R]]/10</f>
        <v>5.36</v>
      </c>
      <c r="BY85" s="18">
        <f>Table3[[#This Row],[R6]]/10</f>
        <v>0.53600000000000003</v>
      </c>
      <c r="BZ85" s="18">
        <f>Table3[[#This Row],[R7]]/10</f>
        <v>5.3600000000000002E-2</v>
      </c>
      <c r="CA85" s="18">
        <f>Table3[[#This Row],[R8]]/10</f>
        <v>5.3600000000000002E-3</v>
      </c>
      <c r="CB85" s="18">
        <f>Table3[[#This Row],[R9]]/10</f>
        <v>5.3600000000000002E-4</v>
      </c>
    </row>
    <row r="86" spans="2:80" ht="17.649999999999999" thickBot="1">
      <c r="B86" s="92"/>
      <c r="C86" s="92"/>
      <c r="D86" s="92"/>
      <c r="E86" s="126"/>
      <c r="F86" s="92"/>
      <c r="G86" s="92"/>
      <c r="H86" s="92"/>
      <c r="I86" s="92"/>
      <c r="J86" s="92"/>
      <c r="K86" s="92"/>
      <c r="L86" s="92"/>
      <c r="BS86" s="58">
        <v>54.9</v>
      </c>
      <c r="BT86" s="17">
        <f>Table3[[#This Row],[R]]*10</f>
        <v>549</v>
      </c>
      <c r="BU86" s="18">
        <f>Table3[[#This Row],[R2]]*10</f>
        <v>5490</v>
      </c>
      <c r="BV86" s="18">
        <f>Table3[[#This Row],[R3]]*10</f>
        <v>54900</v>
      </c>
      <c r="BW86" s="18">
        <f>Table3[[#This Row],[R4]]*10</f>
        <v>549000</v>
      </c>
      <c r="BX86" s="18">
        <f>Table3[[#This Row],[R]]/10</f>
        <v>5.49</v>
      </c>
      <c r="BY86" s="18">
        <f>Table3[[#This Row],[R6]]/10</f>
        <v>0.54900000000000004</v>
      </c>
      <c r="BZ86" s="18">
        <f>Table3[[#This Row],[R7]]/10</f>
        <v>5.4900000000000004E-2</v>
      </c>
      <c r="CA86" s="18">
        <f>Table3[[#This Row],[R8]]/10</f>
        <v>5.4900000000000001E-3</v>
      </c>
      <c r="CB86" s="18">
        <f>Table3[[#This Row],[R9]]/10</f>
        <v>5.4900000000000001E-4</v>
      </c>
    </row>
    <row r="87" spans="2:80" ht="17.649999999999999" thickBot="1">
      <c r="B87" s="92"/>
      <c r="C87" s="92"/>
      <c r="D87" s="92"/>
      <c r="E87" s="126"/>
      <c r="F87" s="92"/>
      <c r="G87" s="92"/>
      <c r="H87" s="92"/>
      <c r="I87" s="92"/>
      <c r="J87" s="92"/>
      <c r="K87" s="92"/>
      <c r="L87" s="92"/>
      <c r="BS87" s="48">
        <v>56.2</v>
      </c>
      <c r="BT87" s="17">
        <f>Table3[[#This Row],[R]]*10</f>
        <v>562</v>
      </c>
      <c r="BU87" s="18">
        <f>Table3[[#This Row],[R2]]*10</f>
        <v>5620</v>
      </c>
      <c r="BV87" s="18">
        <f>Table3[[#This Row],[R3]]*10</f>
        <v>56200</v>
      </c>
      <c r="BW87" s="18">
        <f>Table3[[#This Row],[R4]]*10</f>
        <v>562000</v>
      </c>
      <c r="BX87" s="18">
        <f>Table3[[#This Row],[R]]/10</f>
        <v>5.62</v>
      </c>
      <c r="BY87" s="18">
        <f>Table3[[#This Row],[R6]]/10</f>
        <v>0.56200000000000006</v>
      </c>
      <c r="BZ87" s="18">
        <f>Table3[[#This Row],[R7]]/10</f>
        <v>5.6200000000000007E-2</v>
      </c>
      <c r="CA87" s="18">
        <f>Table3[[#This Row],[R8]]/10</f>
        <v>5.6200000000000009E-3</v>
      </c>
      <c r="CB87" s="18">
        <f>Table3[[#This Row],[R9]]/10</f>
        <v>5.6200000000000011E-4</v>
      </c>
    </row>
    <row r="88" spans="2:80" ht="17.649999999999999" thickBot="1">
      <c r="B88" s="92"/>
      <c r="C88" s="92"/>
      <c r="D88" s="92"/>
      <c r="E88" s="126"/>
      <c r="F88" s="92"/>
      <c r="G88" s="92"/>
      <c r="H88" s="92"/>
      <c r="I88" s="92"/>
      <c r="J88" s="126"/>
      <c r="K88" s="92"/>
      <c r="L88" s="92"/>
      <c r="BS88" s="54">
        <v>57.6</v>
      </c>
      <c r="BT88" s="17">
        <f>Table3[[#This Row],[R]]*10</f>
        <v>576</v>
      </c>
      <c r="BU88" s="18">
        <f>Table3[[#This Row],[R2]]*10</f>
        <v>5760</v>
      </c>
      <c r="BV88" s="18">
        <f>Table3[[#This Row],[R3]]*10</f>
        <v>57600</v>
      </c>
      <c r="BW88" s="18">
        <f>Table3[[#This Row],[R4]]*10</f>
        <v>576000</v>
      </c>
      <c r="BX88" s="18">
        <f>Table3[[#This Row],[R]]/10</f>
        <v>5.76</v>
      </c>
      <c r="BY88" s="18">
        <f>Table3[[#This Row],[R6]]/10</f>
        <v>0.57599999999999996</v>
      </c>
      <c r="BZ88" s="18">
        <f>Table3[[#This Row],[R7]]/10</f>
        <v>5.7599999999999998E-2</v>
      </c>
      <c r="CA88" s="18">
        <f>Table3[[#This Row],[R8]]/10</f>
        <v>5.7599999999999995E-3</v>
      </c>
      <c r="CB88" s="18">
        <f>Table3[[#This Row],[R9]]/10</f>
        <v>5.7599999999999991E-4</v>
      </c>
    </row>
    <row r="89" spans="2:80" ht="17.649999999999999" thickBot="1">
      <c r="B89" s="92"/>
      <c r="C89" s="92"/>
      <c r="D89" s="92"/>
      <c r="E89" s="126"/>
      <c r="F89" s="92"/>
      <c r="G89" s="92"/>
      <c r="H89" s="92"/>
      <c r="I89" s="92"/>
      <c r="J89" s="126"/>
      <c r="K89" s="92"/>
      <c r="L89" s="92"/>
      <c r="BS89" s="54">
        <v>59</v>
      </c>
      <c r="BT89" s="17">
        <f>Table3[[#This Row],[R]]*10</f>
        <v>590</v>
      </c>
      <c r="BU89" s="18">
        <f>Table3[[#This Row],[R2]]*10</f>
        <v>5900</v>
      </c>
      <c r="BV89" s="18">
        <f>Table3[[#This Row],[R3]]*10</f>
        <v>59000</v>
      </c>
      <c r="BW89" s="18">
        <f>Table3[[#This Row],[R4]]*10</f>
        <v>590000</v>
      </c>
      <c r="BX89" s="18">
        <f>Table3[[#This Row],[R]]/10</f>
        <v>5.9</v>
      </c>
      <c r="BY89" s="18">
        <f>Table3[[#This Row],[R6]]/10</f>
        <v>0.59000000000000008</v>
      </c>
      <c r="BZ89" s="18">
        <f>Table3[[#This Row],[R7]]/10</f>
        <v>5.9000000000000011E-2</v>
      </c>
      <c r="CA89" s="18">
        <f>Table3[[#This Row],[R8]]/10</f>
        <v>5.9000000000000007E-3</v>
      </c>
      <c r="CB89" s="18">
        <f>Table3[[#This Row],[R9]]/10</f>
        <v>5.9000000000000003E-4</v>
      </c>
    </row>
    <row r="90" spans="2:80" ht="17.649999999999999" thickBot="1">
      <c r="B90" s="92"/>
      <c r="C90" s="92"/>
      <c r="D90" s="92"/>
      <c r="E90" s="126"/>
      <c r="F90" s="92"/>
      <c r="G90" s="92"/>
      <c r="H90" s="92"/>
      <c r="I90" s="127"/>
      <c r="J90" s="126"/>
      <c r="K90" s="92"/>
      <c r="L90" s="92"/>
      <c r="BS90" s="54">
        <v>60.4</v>
      </c>
      <c r="BT90" s="17">
        <f>Table3[[#This Row],[R]]*10</f>
        <v>604</v>
      </c>
      <c r="BU90" s="18">
        <f>Table3[[#This Row],[R2]]*10</f>
        <v>6040</v>
      </c>
      <c r="BV90" s="18">
        <f>Table3[[#This Row],[R3]]*10</f>
        <v>60400</v>
      </c>
      <c r="BW90" s="18">
        <f>Table3[[#This Row],[R4]]*10</f>
        <v>604000</v>
      </c>
      <c r="BX90" s="18">
        <f>Table3[[#This Row],[R]]/10</f>
        <v>6.04</v>
      </c>
      <c r="BY90" s="18">
        <f>Table3[[#This Row],[R6]]/10</f>
        <v>0.60399999999999998</v>
      </c>
      <c r="BZ90" s="18">
        <f>Table3[[#This Row],[R7]]/10</f>
        <v>6.0399999999999995E-2</v>
      </c>
      <c r="CA90" s="18">
        <f>Table3[[#This Row],[R8]]/10</f>
        <v>6.0399999999999994E-3</v>
      </c>
      <c r="CB90" s="18">
        <f>Table3[[#This Row],[R9]]/10</f>
        <v>6.0399999999999994E-4</v>
      </c>
    </row>
    <row r="91" spans="2:80" ht="17.649999999999999" thickBot="1">
      <c r="B91" s="92"/>
      <c r="C91" s="92"/>
      <c r="D91" s="92"/>
      <c r="E91" s="92"/>
      <c r="F91" s="92"/>
      <c r="G91" s="92"/>
      <c r="H91" s="92"/>
      <c r="I91" s="92"/>
      <c r="J91" s="92"/>
      <c r="K91" s="92"/>
      <c r="L91" s="92"/>
      <c r="BS91" s="54">
        <v>61.9</v>
      </c>
      <c r="BT91" s="17">
        <f>Table3[[#This Row],[R]]*10</f>
        <v>619</v>
      </c>
      <c r="BU91" s="18">
        <f>Table3[[#This Row],[R2]]*10</f>
        <v>6190</v>
      </c>
      <c r="BV91" s="18">
        <f>Table3[[#This Row],[R3]]*10</f>
        <v>61900</v>
      </c>
      <c r="BW91" s="18">
        <f>Table3[[#This Row],[R4]]*10</f>
        <v>619000</v>
      </c>
      <c r="BX91" s="18">
        <f>Table3[[#This Row],[R]]/10</f>
        <v>6.1899999999999995</v>
      </c>
      <c r="BY91" s="18">
        <f>Table3[[#This Row],[R6]]/10</f>
        <v>0.61899999999999999</v>
      </c>
      <c r="BZ91" s="18">
        <f>Table3[[#This Row],[R7]]/10</f>
        <v>6.1899999999999997E-2</v>
      </c>
      <c r="CA91" s="18">
        <f>Table3[[#This Row],[R8]]/10</f>
        <v>6.1899999999999993E-3</v>
      </c>
      <c r="CB91" s="18">
        <f>Table3[[#This Row],[R9]]/10</f>
        <v>6.1899999999999998E-4</v>
      </c>
    </row>
    <row r="92" spans="2:80" ht="17.649999999999999" thickBot="1">
      <c r="B92" s="92"/>
      <c r="C92" s="92"/>
      <c r="D92" s="92"/>
      <c r="E92" s="92"/>
      <c r="F92" s="92"/>
      <c r="G92" s="92"/>
      <c r="H92" s="92"/>
      <c r="I92" s="92"/>
      <c r="J92" s="92"/>
      <c r="K92" s="92"/>
      <c r="L92" s="92"/>
      <c r="BS92" s="54">
        <v>63.4</v>
      </c>
      <c r="BT92" s="17">
        <f>Table3[[#This Row],[R]]*10</f>
        <v>634</v>
      </c>
      <c r="BU92" s="18">
        <f>Table3[[#This Row],[R2]]*10</f>
        <v>6340</v>
      </c>
      <c r="BV92" s="18">
        <f>Table3[[#This Row],[R3]]*10</f>
        <v>63400</v>
      </c>
      <c r="BW92" s="18">
        <f>Table3[[#This Row],[R4]]*10</f>
        <v>634000</v>
      </c>
      <c r="BX92" s="18">
        <f>Table3[[#This Row],[R]]/10</f>
        <v>6.34</v>
      </c>
      <c r="BY92" s="18">
        <f>Table3[[#This Row],[R6]]/10</f>
        <v>0.63400000000000001</v>
      </c>
      <c r="BZ92" s="18">
        <f>Table3[[#This Row],[R7]]/10</f>
        <v>6.3399999999999998E-2</v>
      </c>
      <c r="CA92" s="18">
        <f>Table3[[#This Row],[R8]]/10</f>
        <v>6.3400000000000001E-3</v>
      </c>
      <c r="CB92" s="18">
        <f>Table3[[#This Row],[R9]]/10</f>
        <v>6.3400000000000001E-4</v>
      </c>
    </row>
    <row r="93" spans="2:80" ht="17.649999999999999" thickBot="1">
      <c r="B93" s="92"/>
      <c r="C93" s="92"/>
      <c r="D93" s="92"/>
      <c r="E93" s="92"/>
      <c r="F93" s="92"/>
      <c r="G93" s="92"/>
      <c r="H93" s="92"/>
      <c r="I93" s="92"/>
      <c r="J93" s="92"/>
      <c r="K93" s="92"/>
      <c r="L93" s="92"/>
      <c r="BS93" s="54">
        <v>64.900000000000006</v>
      </c>
      <c r="BT93" s="17">
        <f>Table3[[#This Row],[R]]*10</f>
        <v>649</v>
      </c>
      <c r="BU93" s="18">
        <f>Table3[[#This Row],[R2]]*10</f>
        <v>6490</v>
      </c>
      <c r="BV93" s="18">
        <f>Table3[[#This Row],[R3]]*10</f>
        <v>64900</v>
      </c>
      <c r="BW93" s="18">
        <f>Table3[[#This Row],[R4]]*10</f>
        <v>649000</v>
      </c>
      <c r="BX93" s="18">
        <f>Table3[[#This Row],[R]]/10</f>
        <v>6.49</v>
      </c>
      <c r="BY93" s="18">
        <f>Table3[[#This Row],[R6]]/10</f>
        <v>0.64900000000000002</v>
      </c>
      <c r="BZ93" s="18">
        <f>Table3[[#This Row],[R7]]/10</f>
        <v>6.4899999999999999E-2</v>
      </c>
      <c r="CA93" s="18">
        <f>Table3[[#This Row],[R8]]/10</f>
        <v>6.4900000000000001E-3</v>
      </c>
      <c r="CB93" s="18">
        <f>Table3[[#This Row],[R9]]/10</f>
        <v>6.4900000000000005E-4</v>
      </c>
    </row>
    <row r="94" spans="2:80" ht="17.649999999999999" thickBot="1">
      <c r="B94" s="92"/>
      <c r="C94" s="92"/>
      <c r="D94" s="92"/>
      <c r="E94" s="92"/>
      <c r="F94" s="92"/>
      <c r="G94" s="92"/>
      <c r="H94" s="92"/>
      <c r="I94" s="92"/>
      <c r="J94" s="92"/>
      <c r="K94" s="92"/>
      <c r="L94" s="92"/>
      <c r="BS94" s="58">
        <v>66.5</v>
      </c>
      <c r="BT94" s="17">
        <f>Table3[[#This Row],[R]]*10</f>
        <v>665</v>
      </c>
      <c r="BU94" s="18">
        <f>Table3[[#This Row],[R2]]*10</f>
        <v>6650</v>
      </c>
      <c r="BV94" s="18">
        <f>Table3[[#This Row],[R3]]*10</f>
        <v>66500</v>
      </c>
      <c r="BW94" s="18">
        <f>Table3[[#This Row],[R4]]*10</f>
        <v>665000</v>
      </c>
      <c r="BX94" s="18">
        <f>Table3[[#This Row],[R]]/10</f>
        <v>6.65</v>
      </c>
      <c r="BY94" s="18">
        <f>Table3[[#This Row],[R6]]/10</f>
        <v>0.66500000000000004</v>
      </c>
      <c r="BZ94" s="18">
        <f>Table3[[#This Row],[R7]]/10</f>
        <v>6.6500000000000004E-2</v>
      </c>
      <c r="CA94" s="18">
        <f>Table3[[#This Row],[R8]]/10</f>
        <v>6.6500000000000005E-3</v>
      </c>
      <c r="CB94" s="18">
        <f>Table3[[#This Row],[R9]]/10</f>
        <v>6.6500000000000001E-4</v>
      </c>
    </row>
    <row r="95" spans="2:80" ht="17.649999999999999" thickBot="1">
      <c r="B95" s="92"/>
      <c r="C95" s="92"/>
      <c r="D95" s="92"/>
      <c r="E95" s="92"/>
      <c r="F95" s="92"/>
      <c r="G95" s="92"/>
      <c r="H95" s="92"/>
      <c r="I95" s="92"/>
      <c r="J95" s="92"/>
      <c r="K95" s="92"/>
      <c r="L95" s="92"/>
      <c r="BS95" s="48">
        <v>68.099999999999994</v>
      </c>
      <c r="BT95" s="17">
        <f>Table3[[#This Row],[R]]*10</f>
        <v>681</v>
      </c>
      <c r="BU95" s="18">
        <f>Table3[[#This Row],[R2]]*10</f>
        <v>6810</v>
      </c>
      <c r="BV95" s="18">
        <f>Table3[[#This Row],[R3]]*10</f>
        <v>68100</v>
      </c>
      <c r="BW95" s="18">
        <f>Table3[[#This Row],[R4]]*10</f>
        <v>681000</v>
      </c>
      <c r="BX95" s="18">
        <f>Table3[[#This Row],[R]]/10</f>
        <v>6.81</v>
      </c>
      <c r="BY95" s="18">
        <f>Table3[[#This Row],[R6]]/10</f>
        <v>0.68099999999999994</v>
      </c>
      <c r="BZ95" s="18">
        <f>Table3[[#This Row],[R7]]/10</f>
        <v>6.8099999999999994E-2</v>
      </c>
      <c r="CA95" s="18">
        <f>Table3[[#This Row],[R8]]/10</f>
        <v>6.8099999999999992E-3</v>
      </c>
      <c r="CB95" s="18">
        <f>Table3[[#This Row],[R9]]/10</f>
        <v>6.8099999999999996E-4</v>
      </c>
    </row>
    <row r="96" spans="2:80" ht="17.649999999999999" thickBot="1">
      <c r="B96" s="92"/>
      <c r="C96" s="92"/>
      <c r="D96" s="92"/>
      <c r="E96" s="92"/>
      <c r="F96" s="92"/>
      <c r="G96" s="92"/>
      <c r="H96" s="92"/>
      <c r="I96" s="92"/>
      <c r="J96" s="92"/>
      <c r="K96" s="92"/>
      <c r="L96" s="92"/>
      <c r="BS96" s="54">
        <v>69.8</v>
      </c>
      <c r="BT96" s="17">
        <f>Table3[[#This Row],[R]]*10</f>
        <v>698</v>
      </c>
      <c r="BU96" s="18">
        <f>Table3[[#This Row],[R2]]*10</f>
        <v>6980</v>
      </c>
      <c r="BV96" s="18">
        <f>Table3[[#This Row],[R3]]*10</f>
        <v>69800</v>
      </c>
      <c r="BW96" s="18">
        <f>Table3[[#This Row],[R4]]*10</f>
        <v>698000</v>
      </c>
      <c r="BX96" s="18">
        <f>Table3[[#This Row],[R]]/10</f>
        <v>6.9799999999999995</v>
      </c>
      <c r="BY96" s="18">
        <f>Table3[[#This Row],[R6]]/10</f>
        <v>0.69799999999999995</v>
      </c>
      <c r="BZ96" s="18">
        <f>Table3[[#This Row],[R7]]/10</f>
        <v>6.9800000000000001E-2</v>
      </c>
      <c r="CA96" s="18">
        <f>Table3[[#This Row],[R8]]/10</f>
        <v>6.9800000000000001E-3</v>
      </c>
      <c r="CB96" s="18">
        <f>Table3[[#This Row],[R9]]/10</f>
        <v>6.9800000000000005E-4</v>
      </c>
    </row>
    <row r="97" spans="2:80" ht="17.649999999999999" thickBot="1">
      <c r="B97" s="92"/>
      <c r="C97" s="92"/>
      <c r="D97" s="92"/>
      <c r="E97" s="92"/>
      <c r="F97" s="92"/>
      <c r="G97" s="92"/>
      <c r="H97" s="92"/>
      <c r="I97" s="92"/>
      <c r="J97" s="92"/>
      <c r="K97" s="92"/>
      <c r="L97" s="92"/>
      <c r="BS97" s="54">
        <v>71.5</v>
      </c>
      <c r="BT97" s="17">
        <f>Table3[[#This Row],[R]]*10</f>
        <v>715</v>
      </c>
      <c r="BU97" s="18">
        <f>Table3[[#This Row],[R2]]*10</f>
        <v>7150</v>
      </c>
      <c r="BV97" s="18">
        <f>Table3[[#This Row],[R3]]*10</f>
        <v>71500</v>
      </c>
      <c r="BW97" s="18">
        <f>Table3[[#This Row],[R4]]*10</f>
        <v>715000</v>
      </c>
      <c r="BX97" s="18">
        <f>Table3[[#This Row],[R]]/10</f>
        <v>7.15</v>
      </c>
      <c r="BY97" s="18">
        <f>Table3[[#This Row],[R6]]/10</f>
        <v>0.71500000000000008</v>
      </c>
      <c r="BZ97" s="18">
        <f>Table3[[#This Row],[R7]]/10</f>
        <v>7.1500000000000008E-2</v>
      </c>
      <c r="CA97" s="18">
        <f>Table3[[#This Row],[R8]]/10</f>
        <v>7.150000000000001E-3</v>
      </c>
      <c r="CB97" s="18">
        <f>Table3[[#This Row],[R9]]/10</f>
        <v>7.1500000000000014E-4</v>
      </c>
    </row>
    <row r="98" spans="2:80" ht="17.649999999999999" thickBot="1">
      <c r="B98" s="92"/>
      <c r="C98" s="92"/>
      <c r="D98" s="92"/>
      <c r="E98" s="92"/>
      <c r="F98" s="92"/>
      <c r="G98" s="92"/>
      <c r="H98" s="92"/>
      <c r="I98" s="92"/>
      <c r="J98" s="92"/>
      <c r="K98" s="92"/>
      <c r="L98" s="92"/>
      <c r="BS98" s="54">
        <v>73.2</v>
      </c>
      <c r="BT98" s="17">
        <f>Table3[[#This Row],[R]]*10</f>
        <v>732</v>
      </c>
      <c r="BU98" s="18">
        <f>Table3[[#This Row],[R2]]*10</f>
        <v>7320</v>
      </c>
      <c r="BV98" s="18">
        <f>Table3[[#This Row],[R3]]*10</f>
        <v>73200</v>
      </c>
      <c r="BW98" s="18">
        <f>Table3[[#This Row],[R4]]*10</f>
        <v>732000</v>
      </c>
      <c r="BX98" s="18">
        <f>Table3[[#This Row],[R]]/10</f>
        <v>7.32</v>
      </c>
      <c r="BY98" s="18">
        <f>Table3[[#This Row],[R6]]/10</f>
        <v>0.73199999999999998</v>
      </c>
      <c r="BZ98" s="18">
        <f>Table3[[#This Row],[R7]]/10</f>
        <v>7.3200000000000001E-2</v>
      </c>
      <c r="CA98" s="18">
        <f>Table3[[#This Row],[R8]]/10</f>
        <v>7.3200000000000001E-3</v>
      </c>
      <c r="CB98" s="18">
        <f>Table3[[#This Row],[R9]]/10</f>
        <v>7.3200000000000001E-4</v>
      </c>
    </row>
    <row r="99" spans="2:80" ht="17.649999999999999" thickBot="1">
      <c r="BS99" s="54">
        <v>75</v>
      </c>
      <c r="BT99" s="17">
        <f>Table3[[#This Row],[R]]*10</f>
        <v>750</v>
      </c>
      <c r="BU99" s="18">
        <f>Table3[[#This Row],[R2]]*10</f>
        <v>7500</v>
      </c>
      <c r="BV99" s="18">
        <f>Table3[[#This Row],[R3]]*10</f>
        <v>75000</v>
      </c>
      <c r="BW99" s="18">
        <f>Table3[[#This Row],[R4]]*10</f>
        <v>750000</v>
      </c>
      <c r="BX99" s="18">
        <f>Table3[[#This Row],[R]]/10</f>
        <v>7.5</v>
      </c>
      <c r="BY99" s="18">
        <f>Table3[[#This Row],[R6]]/10</f>
        <v>0.75</v>
      </c>
      <c r="BZ99" s="18">
        <f>Table3[[#This Row],[R7]]/10</f>
        <v>7.4999999999999997E-2</v>
      </c>
      <c r="CA99" s="18">
        <f>Table3[[#This Row],[R8]]/10</f>
        <v>7.4999999999999997E-3</v>
      </c>
      <c r="CB99" s="18">
        <f>Table3[[#This Row],[R9]]/10</f>
        <v>7.5000000000000002E-4</v>
      </c>
    </row>
    <row r="100" spans="2:80" ht="17.649999999999999" thickBot="1">
      <c r="BS100" s="54">
        <v>76.8</v>
      </c>
      <c r="BT100" s="17">
        <f>Table3[[#This Row],[R]]*10</f>
        <v>768</v>
      </c>
      <c r="BU100" s="18">
        <f>Table3[[#This Row],[R2]]*10</f>
        <v>7680</v>
      </c>
      <c r="BV100" s="18">
        <f>Table3[[#This Row],[R3]]*10</f>
        <v>76800</v>
      </c>
      <c r="BW100" s="18">
        <f>Table3[[#This Row],[R4]]*10</f>
        <v>768000</v>
      </c>
      <c r="BX100" s="18">
        <f>Table3[[#This Row],[R]]/10</f>
        <v>7.68</v>
      </c>
      <c r="BY100" s="18">
        <f>Table3[[#This Row],[R6]]/10</f>
        <v>0.76800000000000002</v>
      </c>
      <c r="BZ100" s="18">
        <f>Table3[[#This Row],[R7]]/10</f>
        <v>7.6800000000000007E-2</v>
      </c>
      <c r="CA100" s="18">
        <f>Table3[[#This Row],[R8]]/10</f>
        <v>7.6800000000000011E-3</v>
      </c>
      <c r="CB100" s="18">
        <f>Table3[[#This Row],[R9]]/10</f>
        <v>7.6800000000000013E-4</v>
      </c>
    </row>
    <row r="101" spans="2:80" ht="17.649999999999999" thickBot="1">
      <c r="BS101" s="54">
        <v>78.7</v>
      </c>
      <c r="BT101" s="17">
        <f>Table3[[#This Row],[R]]*10</f>
        <v>787</v>
      </c>
      <c r="BU101" s="18">
        <f>Table3[[#This Row],[R2]]*10</f>
        <v>7870</v>
      </c>
      <c r="BV101" s="18">
        <f>Table3[[#This Row],[R3]]*10</f>
        <v>78700</v>
      </c>
      <c r="BW101" s="18">
        <f>Table3[[#This Row],[R4]]*10</f>
        <v>787000</v>
      </c>
      <c r="BX101" s="18">
        <f>Table3[[#This Row],[R]]/10</f>
        <v>7.87</v>
      </c>
      <c r="BY101" s="18">
        <f>Table3[[#This Row],[R6]]/10</f>
        <v>0.78700000000000003</v>
      </c>
      <c r="BZ101" s="18">
        <f>Table3[[#This Row],[R7]]/10</f>
        <v>7.8700000000000006E-2</v>
      </c>
      <c r="CA101" s="18">
        <f>Table3[[#This Row],[R8]]/10</f>
        <v>7.8700000000000003E-3</v>
      </c>
      <c r="CB101" s="18">
        <f>Table3[[#This Row],[R9]]/10</f>
        <v>7.8700000000000005E-4</v>
      </c>
    </row>
    <row r="102" spans="2:80" ht="17.649999999999999" thickBot="1">
      <c r="BS102" s="58">
        <v>80.599999999999994</v>
      </c>
      <c r="BT102" s="17">
        <f>Table3[[#This Row],[R]]*10</f>
        <v>806</v>
      </c>
      <c r="BU102" s="18">
        <f>Table3[[#This Row],[R2]]*10</f>
        <v>8060</v>
      </c>
      <c r="BV102" s="18">
        <f>Table3[[#This Row],[R3]]*10</f>
        <v>80600</v>
      </c>
      <c r="BW102" s="18">
        <f>Table3[[#This Row],[R4]]*10</f>
        <v>806000</v>
      </c>
      <c r="BX102" s="18">
        <f>Table3[[#This Row],[R]]/10</f>
        <v>8.0599999999999987</v>
      </c>
      <c r="BY102" s="18">
        <f>Table3[[#This Row],[R6]]/10</f>
        <v>0.80599999999999983</v>
      </c>
      <c r="BZ102" s="18">
        <f>Table3[[#This Row],[R7]]/10</f>
        <v>8.0599999999999977E-2</v>
      </c>
      <c r="CA102" s="18">
        <f>Table3[[#This Row],[R8]]/10</f>
        <v>8.0599999999999977E-3</v>
      </c>
      <c r="CB102" s="18">
        <f>Table3[[#This Row],[R9]]/10</f>
        <v>8.0599999999999975E-4</v>
      </c>
    </row>
    <row r="103" spans="2:80" ht="17.649999999999999" thickBot="1">
      <c r="BS103" s="128">
        <v>82.5</v>
      </c>
      <c r="BT103" s="17">
        <f>Table3[[#This Row],[R]]*10</f>
        <v>825</v>
      </c>
      <c r="BU103" s="18">
        <f>Table3[[#This Row],[R2]]*10</f>
        <v>8250</v>
      </c>
      <c r="BV103" s="18">
        <f>Table3[[#This Row],[R3]]*10</f>
        <v>82500</v>
      </c>
      <c r="BW103" s="18">
        <f>Table3[[#This Row],[R4]]*10</f>
        <v>825000</v>
      </c>
      <c r="BX103" s="18">
        <f>Table3[[#This Row],[R]]/10</f>
        <v>8.25</v>
      </c>
      <c r="BY103" s="18">
        <f>Table3[[#This Row],[R6]]/10</f>
        <v>0.82499999999999996</v>
      </c>
      <c r="BZ103" s="18">
        <f>Table3[[#This Row],[R7]]/10</f>
        <v>8.249999999999999E-2</v>
      </c>
      <c r="CA103" s="18">
        <f>Table3[[#This Row],[R8]]/10</f>
        <v>8.2499999999999987E-3</v>
      </c>
      <c r="CB103" s="18">
        <f>Table3[[#This Row],[R9]]/10</f>
        <v>8.2499999999999989E-4</v>
      </c>
    </row>
    <row r="104" spans="2:80" ht="17.649999999999999" thickBot="1">
      <c r="BS104" s="129">
        <v>84.5</v>
      </c>
      <c r="BT104" s="17">
        <f>Table3[[#This Row],[R]]*10</f>
        <v>845</v>
      </c>
      <c r="BU104" s="18">
        <f>Table3[[#This Row],[R2]]*10</f>
        <v>8450</v>
      </c>
      <c r="BV104" s="18">
        <f>Table3[[#This Row],[R3]]*10</f>
        <v>84500</v>
      </c>
      <c r="BW104" s="18">
        <f>Table3[[#This Row],[R4]]*10</f>
        <v>845000</v>
      </c>
      <c r="BX104" s="18">
        <f>Table3[[#This Row],[R]]/10</f>
        <v>8.4499999999999993</v>
      </c>
      <c r="BY104" s="18">
        <f>Table3[[#This Row],[R6]]/10</f>
        <v>0.84499999999999997</v>
      </c>
      <c r="BZ104" s="18">
        <f>Table3[[#This Row],[R7]]/10</f>
        <v>8.4499999999999992E-2</v>
      </c>
      <c r="CA104" s="18">
        <f>Table3[[#This Row],[R8]]/10</f>
        <v>8.4499999999999992E-3</v>
      </c>
      <c r="CB104" s="18">
        <f>Table3[[#This Row],[R9]]/10</f>
        <v>8.4499999999999994E-4</v>
      </c>
    </row>
    <row r="105" spans="2:80" ht="17.649999999999999" thickBot="1">
      <c r="BS105" s="129">
        <v>86.6</v>
      </c>
      <c r="BT105" s="17">
        <f>Table3[[#This Row],[R]]*10</f>
        <v>866</v>
      </c>
      <c r="BU105" s="18">
        <f>Table3[[#This Row],[R2]]*10</f>
        <v>8660</v>
      </c>
      <c r="BV105" s="18">
        <f>Table3[[#This Row],[R3]]*10</f>
        <v>86600</v>
      </c>
      <c r="BW105" s="18">
        <f>Table3[[#This Row],[R4]]*10</f>
        <v>866000</v>
      </c>
      <c r="BX105" s="18">
        <f>Table3[[#This Row],[R]]/10</f>
        <v>8.66</v>
      </c>
      <c r="BY105" s="18">
        <f>Table3[[#This Row],[R6]]/10</f>
        <v>0.86599999999999999</v>
      </c>
      <c r="BZ105" s="18">
        <f>Table3[[#This Row],[R7]]/10</f>
        <v>8.6599999999999996E-2</v>
      </c>
      <c r="CA105" s="18">
        <f>Table3[[#This Row],[R8]]/10</f>
        <v>8.6599999999999993E-3</v>
      </c>
      <c r="CB105" s="18">
        <f>Table3[[#This Row],[R9]]/10</f>
        <v>8.6599999999999991E-4</v>
      </c>
    </row>
    <row r="106" spans="2:80" ht="17.649999999999999" thickBot="1">
      <c r="BS106" s="129">
        <v>88.7</v>
      </c>
      <c r="BT106" s="17">
        <f>Table3[[#This Row],[R]]*10</f>
        <v>887</v>
      </c>
      <c r="BU106" s="18">
        <f>Table3[[#This Row],[R2]]*10</f>
        <v>8870</v>
      </c>
      <c r="BV106" s="18">
        <f>Table3[[#This Row],[R3]]*10</f>
        <v>88700</v>
      </c>
      <c r="BW106" s="18">
        <f>Table3[[#This Row],[R4]]*10</f>
        <v>887000</v>
      </c>
      <c r="BX106" s="18">
        <f>Table3[[#This Row],[R]]/10</f>
        <v>8.870000000000001</v>
      </c>
      <c r="BY106" s="18">
        <f>Table3[[#This Row],[R6]]/10</f>
        <v>0.88700000000000012</v>
      </c>
      <c r="BZ106" s="18">
        <f>Table3[[#This Row],[R7]]/10</f>
        <v>8.8700000000000015E-2</v>
      </c>
      <c r="CA106" s="18">
        <f>Table3[[#This Row],[R8]]/10</f>
        <v>8.8700000000000011E-3</v>
      </c>
      <c r="CB106" s="18">
        <f>Table3[[#This Row],[R9]]/10</f>
        <v>8.8700000000000009E-4</v>
      </c>
    </row>
    <row r="107" spans="2:80" ht="17.649999999999999" thickBot="1">
      <c r="BS107" s="129">
        <v>90.9</v>
      </c>
      <c r="BT107" s="17">
        <f>Table3[[#This Row],[R]]*10</f>
        <v>909</v>
      </c>
      <c r="BU107" s="18">
        <f>Table3[[#This Row],[R2]]*10</f>
        <v>9090</v>
      </c>
      <c r="BV107" s="18">
        <f>Table3[[#This Row],[R3]]*10</f>
        <v>90900</v>
      </c>
      <c r="BW107" s="18">
        <f>Table3[[#This Row],[R4]]*10</f>
        <v>909000</v>
      </c>
      <c r="BX107" s="18">
        <f>Table3[[#This Row],[R]]/10</f>
        <v>9.09</v>
      </c>
      <c r="BY107" s="18">
        <f>Table3[[#This Row],[R6]]/10</f>
        <v>0.90900000000000003</v>
      </c>
      <c r="BZ107" s="18">
        <f>Table3[[#This Row],[R7]]/10</f>
        <v>9.0900000000000009E-2</v>
      </c>
      <c r="CA107" s="18">
        <f>Table3[[#This Row],[R8]]/10</f>
        <v>9.0900000000000009E-3</v>
      </c>
      <c r="CB107" s="18">
        <f>Table3[[#This Row],[R9]]/10</f>
        <v>9.0900000000000009E-4</v>
      </c>
    </row>
    <row r="108" spans="2:80" ht="17.649999999999999" thickBot="1">
      <c r="BS108" s="129">
        <v>93.1</v>
      </c>
      <c r="BT108" s="17">
        <f>Table3[[#This Row],[R]]*10</f>
        <v>931</v>
      </c>
      <c r="BU108" s="18">
        <f>Table3[[#This Row],[R2]]*10</f>
        <v>9310</v>
      </c>
      <c r="BV108" s="18">
        <f>Table3[[#This Row],[R3]]*10</f>
        <v>93100</v>
      </c>
      <c r="BW108" s="18">
        <f>Table3[[#This Row],[R4]]*10</f>
        <v>931000</v>
      </c>
      <c r="BX108" s="18">
        <f>Table3[[#This Row],[R]]/10</f>
        <v>9.3099999999999987</v>
      </c>
      <c r="BY108" s="18">
        <f>Table3[[#This Row],[R6]]/10</f>
        <v>0.93099999999999983</v>
      </c>
      <c r="BZ108" s="18">
        <f>Table3[[#This Row],[R7]]/10</f>
        <v>9.3099999999999988E-2</v>
      </c>
      <c r="CA108" s="18">
        <f>Table3[[#This Row],[R8]]/10</f>
        <v>9.3099999999999988E-3</v>
      </c>
      <c r="CB108" s="18">
        <f>Table3[[#This Row],[R9]]/10</f>
        <v>9.3099999999999986E-4</v>
      </c>
    </row>
    <row r="109" spans="2:80" ht="17.649999999999999" thickBot="1">
      <c r="BS109" s="129">
        <v>95.3</v>
      </c>
      <c r="BT109" s="17">
        <f>Table3[[#This Row],[R]]*10</f>
        <v>953</v>
      </c>
      <c r="BU109" s="18">
        <f>Table3[[#This Row],[R2]]*10</f>
        <v>9530</v>
      </c>
      <c r="BV109" s="18">
        <f>Table3[[#This Row],[R3]]*10</f>
        <v>95300</v>
      </c>
      <c r="BW109" s="18">
        <f>Table3[[#This Row],[R4]]*10</f>
        <v>953000</v>
      </c>
      <c r="BX109" s="18">
        <f>Table3[[#This Row],[R]]/10</f>
        <v>9.5299999999999994</v>
      </c>
      <c r="BY109" s="18">
        <f>Table3[[#This Row],[R6]]/10</f>
        <v>0.95299999999999996</v>
      </c>
      <c r="BZ109" s="18">
        <f>Table3[[#This Row],[R7]]/10</f>
        <v>9.5299999999999996E-2</v>
      </c>
      <c r="CA109" s="18">
        <f>Table3[[#This Row],[R8]]/10</f>
        <v>9.5300000000000003E-3</v>
      </c>
      <c r="CB109" s="18">
        <f>Table3[[#This Row],[R9]]/10</f>
        <v>9.5300000000000007E-4</v>
      </c>
    </row>
    <row r="110" spans="2:80" ht="17.649999999999999" thickBot="1">
      <c r="BS110" s="357"/>
      <c r="BT110" s="358">
        <v>20800</v>
      </c>
      <c r="BU110" s="359">
        <v>16700</v>
      </c>
      <c r="BV110" s="359">
        <v>12500</v>
      </c>
      <c r="BW110" s="359">
        <v>16600</v>
      </c>
      <c r="BX110" s="359">
        <v>21000</v>
      </c>
      <c r="BY110" s="359"/>
      <c r="BZ110" s="359"/>
      <c r="CA110" s="359"/>
      <c r="CB110" s="359"/>
    </row>
    <row r="111" spans="2:80" ht="17.649999999999999" thickBot="1">
      <c r="BS111" s="130">
        <v>97.6</v>
      </c>
      <c r="BT111" s="17">
        <f>Table3[[#This Row],[R]]*10</f>
        <v>976</v>
      </c>
      <c r="BU111" s="18">
        <f>Table3[[#This Row],[R2]]*10</f>
        <v>9760</v>
      </c>
      <c r="BV111" s="18">
        <f>Table3[[#This Row],[R3]]*10</f>
        <v>97600</v>
      </c>
      <c r="BW111" s="18">
        <f>Table3[[#This Row],[R4]]*10</f>
        <v>976000</v>
      </c>
      <c r="BX111" s="18">
        <f>Table3[[#This Row],[R]]/10</f>
        <v>9.76</v>
      </c>
      <c r="BY111" s="18">
        <f>Table3[[#This Row],[R6]]/10</f>
        <v>0.97599999999999998</v>
      </c>
      <c r="BZ111" s="18">
        <f>Table3[[#This Row],[R7]]/10</f>
        <v>9.7599999999999992E-2</v>
      </c>
      <c r="CA111" s="18">
        <f>Table3[[#This Row],[R8]]/10</f>
        <v>9.7599999999999996E-3</v>
      </c>
      <c r="CB111" s="18">
        <f>Table3[[#This Row],[R9]]/10</f>
        <v>9.7599999999999998E-4</v>
      </c>
    </row>
  </sheetData>
  <sheetProtection algorithmName="SHA-512" hashValue="U7eoL0CUrqO+d9XxuGAo7InxhTUAkBwUhBG66kfGR0s278VfYmkc3yUIvT4rB4cBgLjclMGoxoKGxuy3sjA8qg==" saltValue="XZvFocINJrrVQIKjVqSyyg==" spinCount="100000" sheet="1" selectLockedCells="1"/>
  <protectedRanges>
    <protectedRange sqref="L59:L60" name="Range1_1"/>
  </protectedRanges>
  <mergeCells count="242">
    <mergeCell ref="D65:E65"/>
    <mergeCell ref="B65:C65"/>
    <mergeCell ref="F65:I65"/>
    <mergeCell ref="J56:K56"/>
    <mergeCell ref="G49:H49"/>
    <mergeCell ref="B41:D41"/>
    <mergeCell ref="B42:D42"/>
    <mergeCell ref="B43:D43"/>
    <mergeCell ref="K45:L45"/>
    <mergeCell ref="I46:J46"/>
    <mergeCell ref="G46:H46"/>
    <mergeCell ref="N52:O52"/>
    <mergeCell ref="BI65:BJ65"/>
    <mergeCell ref="BI75:BJ75"/>
    <mergeCell ref="BI41:BJ41"/>
    <mergeCell ref="BI46:BJ46"/>
    <mergeCell ref="BI49:BJ49"/>
    <mergeCell ref="I43:J43"/>
    <mergeCell ref="H66:I66"/>
    <mergeCell ref="H67:I67"/>
    <mergeCell ref="H68:I68"/>
    <mergeCell ref="K42:L42"/>
    <mergeCell ref="K43:L43"/>
    <mergeCell ref="H70:I70"/>
    <mergeCell ref="J58:K58"/>
    <mergeCell ref="J68:K68"/>
    <mergeCell ref="J69:K69"/>
    <mergeCell ref="J70:K70"/>
    <mergeCell ref="B62:L63"/>
    <mergeCell ref="E41:F41"/>
    <mergeCell ref="E42:F42"/>
    <mergeCell ref="E43:F43"/>
    <mergeCell ref="G39:H39"/>
    <mergeCell ref="G40:H40"/>
    <mergeCell ref="G41:H41"/>
    <mergeCell ref="E46:F46"/>
    <mergeCell ref="K46:L46"/>
    <mergeCell ref="I49:J49"/>
    <mergeCell ref="G42:H42"/>
    <mergeCell ref="G43:H43"/>
    <mergeCell ref="E47:F47"/>
    <mergeCell ref="E48:F48"/>
    <mergeCell ref="E49:F49"/>
    <mergeCell ref="I41:J41"/>
    <mergeCell ref="I42:J42"/>
    <mergeCell ref="A1:K3"/>
    <mergeCell ref="A4:T4"/>
    <mergeCell ref="B23:C23"/>
    <mergeCell ref="N2:O2"/>
    <mergeCell ref="G6:L6"/>
    <mergeCell ref="K7:L7"/>
    <mergeCell ref="K8:L8"/>
    <mergeCell ref="K9:L9"/>
    <mergeCell ref="K15:L15"/>
    <mergeCell ref="K16:L16"/>
    <mergeCell ref="K17:L17"/>
    <mergeCell ref="K18:L18"/>
    <mergeCell ref="K19:L19"/>
    <mergeCell ref="K10:L10"/>
    <mergeCell ref="K11:L11"/>
    <mergeCell ref="K12:L12"/>
    <mergeCell ref="K13:L13"/>
    <mergeCell ref="K14:L14"/>
    <mergeCell ref="N34:S34"/>
    <mergeCell ref="N7:Q8"/>
    <mergeCell ref="E39:F39"/>
    <mergeCell ref="E40:F40"/>
    <mergeCell ref="N6:Q6"/>
    <mergeCell ref="N15:Q15"/>
    <mergeCell ref="N16:Q16"/>
    <mergeCell ref="U4:BR4"/>
    <mergeCell ref="BI8:BJ8"/>
    <mergeCell ref="BL8:BO8"/>
    <mergeCell ref="BL9:BM9"/>
    <mergeCell ref="BQ8:BR8"/>
    <mergeCell ref="BF8:BG8"/>
    <mergeCell ref="N11:R12"/>
    <mergeCell ref="BF17:BG17"/>
    <mergeCell ref="BF20:BG20"/>
    <mergeCell ref="BN9:BO9"/>
    <mergeCell ref="BL36:BM36"/>
    <mergeCell ref="BL41:BM41"/>
    <mergeCell ref="BI20:BJ20"/>
    <mergeCell ref="BI26:BJ26"/>
    <mergeCell ref="BL25:BM25"/>
    <mergeCell ref="BL30:BM30"/>
    <mergeCell ref="BF29:BG29"/>
    <mergeCell ref="BF30:BG30"/>
    <mergeCell ref="BI34:BJ34"/>
    <mergeCell ref="BI38:BJ38"/>
    <mergeCell ref="G16:J16"/>
    <mergeCell ref="G17:J17"/>
    <mergeCell ref="G18:J18"/>
    <mergeCell ref="G19:J19"/>
    <mergeCell ref="K20:L20"/>
    <mergeCell ref="G7:J7"/>
    <mergeCell ref="G8:J8"/>
    <mergeCell ref="G9:J9"/>
    <mergeCell ref="G10:J10"/>
    <mergeCell ref="G11:J11"/>
    <mergeCell ref="G12:J12"/>
    <mergeCell ref="G13:J13"/>
    <mergeCell ref="G14:J14"/>
    <mergeCell ref="G15:J15"/>
    <mergeCell ref="G20:J20"/>
    <mergeCell ref="G21:J21"/>
    <mergeCell ref="G22:J22"/>
    <mergeCell ref="G23:J23"/>
    <mergeCell ref="G24:J24"/>
    <mergeCell ref="G25:J25"/>
    <mergeCell ref="K25:L25"/>
    <mergeCell ref="K26:L26"/>
    <mergeCell ref="K21:L21"/>
    <mergeCell ref="K22:L22"/>
    <mergeCell ref="K23:L23"/>
    <mergeCell ref="K24:L24"/>
    <mergeCell ref="G26:J26"/>
    <mergeCell ref="B39:D39"/>
    <mergeCell ref="B40:D40"/>
    <mergeCell ref="B31:D32"/>
    <mergeCell ref="E31:F32"/>
    <mergeCell ref="B33:D33"/>
    <mergeCell ref="I37:J37"/>
    <mergeCell ref="I38:J38"/>
    <mergeCell ref="E33:F33"/>
    <mergeCell ref="E34:F34"/>
    <mergeCell ref="E35:F35"/>
    <mergeCell ref="E36:F36"/>
    <mergeCell ref="E37:F37"/>
    <mergeCell ref="E38:F38"/>
    <mergeCell ref="G37:H37"/>
    <mergeCell ref="G38:H38"/>
    <mergeCell ref="I39:J39"/>
    <mergeCell ref="I40:J40"/>
    <mergeCell ref="I35:J35"/>
    <mergeCell ref="I36:J36"/>
    <mergeCell ref="B30:L30"/>
    <mergeCell ref="K32:L32"/>
    <mergeCell ref="H72:I72"/>
    <mergeCell ref="B37:D37"/>
    <mergeCell ref="I45:J45"/>
    <mergeCell ref="B38:D38"/>
    <mergeCell ref="G33:H33"/>
    <mergeCell ref="G34:H34"/>
    <mergeCell ref="G35:H35"/>
    <mergeCell ref="G36:H36"/>
    <mergeCell ref="B34:D34"/>
    <mergeCell ref="B35:D35"/>
    <mergeCell ref="B36:D36"/>
    <mergeCell ref="K37:L37"/>
    <mergeCell ref="K38:L38"/>
    <mergeCell ref="K39:L39"/>
    <mergeCell ref="K40:L40"/>
    <mergeCell ref="K41:L41"/>
    <mergeCell ref="B64:C64"/>
    <mergeCell ref="D64:E64"/>
    <mergeCell ref="F64:I64"/>
    <mergeCell ref="J64:L64"/>
    <mergeCell ref="J71:K71"/>
    <mergeCell ref="J72:K72"/>
    <mergeCell ref="F69:G69"/>
    <mergeCell ref="F70:G70"/>
    <mergeCell ref="F71:G71"/>
    <mergeCell ref="F72:G72"/>
    <mergeCell ref="H71:I71"/>
    <mergeCell ref="N19:O19"/>
    <mergeCell ref="F73:G73"/>
    <mergeCell ref="H73:I73"/>
    <mergeCell ref="J73:K73"/>
    <mergeCell ref="G27:J27"/>
    <mergeCell ref="K33:L33"/>
    <mergeCell ref="K34:L34"/>
    <mergeCell ref="K35:L35"/>
    <mergeCell ref="K36:L36"/>
    <mergeCell ref="K31:L31"/>
    <mergeCell ref="G31:H31"/>
    <mergeCell ref="G32:H32"/>
    <mergeCell ref="I31:J31"/>
    <mergeCell ref="I32:J32"/>
    <mergeCell ref="K27:L27"/>
    <mergeCell ref="I33:J33"/>
    <mergeCell ref="I34:J34"/>
    <mergeCell ref="J78:K78"/>
    <mergeCell ref="J79:K79"/>
    <mergeCell ref="J80:K80"/>
    <mergeCell ref="J74:K74"/>
    <mergeCell ref="J75:K75"/>
    <mergeCell ref="J76:K76"/>
    <mergeCell ref="H78:I78"/>
    <mergeCell ref="H79:I79"/>
    <mergeCell ref="H80:I80"/>
    <mergeCell ref="H74:I74"/>
    <mergeCell ref="H75:I75"/>
    <mergeCell ref="H76:I76"/>
    <mergeCell ref="F78:G78"/>
    <mergeCell ref="F79:G79"/>
    <mergeCell ref="K47:L47"/>
    <mergeCell ref="K48:L48"/>
    <mergeCell ref="K49:L49"/>
    <mergeCell ref="F67:G67"/>
    <mergeCell ref="J67:K67"/>
    <mergeCell ref="E45:F45"/>
    <mergeCell ref="G45:H45"/>
    <mergeCell ref="F68:G68"/>
    <mergeCell ref="J53:K53"/>
    <mergeCell ref="G47:H47"/>
    <mergeCell ref="G48:H48"/>
    <mergeCell ref="J57:K57"/>
    <mergeCell ref="J52:L52"/>
    <mergeCell ref="I47:J47"/>
    <mergeCell ref="I48:J48"/>
    <mergeCell ref="J54:K54"/>
    <mergeCell ref="J55:K55"/>
    <mergeCell ref="F66:G66"/>
    <mergeCell ref="J66:K66"/>
    <mergeCell ref="J65:L65"/>
    <mergeCell ref="J50:L51"/>
    <mergeCell ref="H69:I69"/>
    <mergeCell ref="N30:S30"/>
    <mergeCell ref="F81:G81"/>
    <mergeCell ref="H81:I81"/>
    <mergeCell ref="J81:K81"/>
    <mergeCell ref="F82:G82"/>
    <mergeCell ref="H82:I82"/>
    <mergeCell ref="J82:K82"/>
    <mergeCell ref="F83:G83"/>
    <mergeCell ref="H83:I83"/>
    <mergeCell ref="J83:K83"/>
    <mergeCell ref="M45:N45"/>
    <mergeCell ref="O45:P45"/>
    <mergeCell ref="M46:N46"/>
    <mergeCell ref="O46:P46"/>
    <mergeCell ref="M47:N47"/>
    <mergeCell ref="O47:P47"/>
    <mergeCell ref="M48:N48"/>
    <mergeCell ref="O48:P48"/>
    <mergeCell ref="M49:N49"/>
    <mergeCell ref="O49:P49"/>
    <mergeCell ref="F80:G80"/>
    <mergeCell ref="F74:G74"/>
    <mergeCell ref="F75:G75"/>
    <mergeCell ref="F76:G76"/>
  </mergeCells>
  <phoneticPr fontId="21"/>
  <conditionalFormatting sqref="C44:D44 K46:K49 E46:E50 G46:G50 I46:I50">
    <cfRule type="containsBlanks" dxfId="22" priority="47">
      <formula>LEN(TRIM(C44))=0</formula>
    </cfRule>
  </conditionalFormatting>
  <conditionalFormatting sqref="E31">
    <cfRule type="containsBlanks" dxfId="21" priority="22">
      <formula>LEN(TRIM(E31))=0</formula>
    </cfRule>
  </conditionalFormatting>
  <conditionalFormatting sqref="E34">
    <cfRule type="beginsWith" dxfId="20" priority="44" operator="beginsWith" text=" Please">
      <formula>LEFT(E34,LEN(" Please"))=" Please"</formula>
    </cfRule>
  </conditionalFormatting>
  <conditionalFormatting sqref="E34:E39">
    <cfRule type="containsBlanks" dxfId="19" priority="54">
      <formula>LEN(TRIM(E34))=0</formula>
    </cfRule>
  </conditionalFormatting>
  <conditionalFormatting sqref="E40:E43">
    <cfRule type="containsBlanks" dxfId="18" priority="24">
      <formula>LEN(TRIM(E40))=0</formula>
    </cfRule>
  </conditionalFormatting>
  <conditionalFormatting sqref="E66:E69">
    <cfRule type="containsBlanks" dxfId="17" priority="12">
      <formula>LEN(TRIM(E66))=0</formula>
    </cfRule>
  </conditionalFormatting>
  <conditionalFormatting sqref="G32">
    <cfRule type="containsBlanks" dxfId="16" priority="41">
      <formula>LEN(TRIM(G32))=0</formula>
    </cfRule>
    <cfRule type="cellIs" dxfId="15" priority="55" operator="between">
      <formula>$E$31</formula>
      <formula>$BF$30</formula>
    </cfRule>
    <cfRule type="cellIs" dxfId="14" priority="56" stopIfTrue="1" operator="between">
      <formula>0</formula>
      <formula>$E$31</formula>
    </cfRule>
    <cfRule type="cellIs" dxfId="13" priority="57" operator="greaterThan">
      <formula>$BF$30</formula>
    </cfRule>
  </conditionalFormatting>
  <conditionalFormatting sqref="G34">
    <cfRule type="beginsWith" dxfId="12" priority="43" operator="beginsWith" text="e in">
      <formula>LEFT(G34,LEN("e in"))="e in"</formula>
    </cfRule>
  </conditionalFormatting>
  <conditionalFormatting sqref="G34:G43">
    <cfRule type="containsBlanks" dxfId="11" priority="31">
      <formula>LEN(TRIM(G34))=0</formula>
    </cfRule>
  </conditionalFormatting>
  <conditionalFormatting sqref="I31:I32">
    <cfRule type="containsText" dxfId="10" priority="27" operator="containsText" text="Please">
      <formula>NOT(ISERROR(SEARCH("Please",I31)))</formula>
    </cfRule>
  </conditionalFormatting>
  <conditionalFormatting sqref="J50:L51">
    <cfRule type="containsText" dxfId="8" priority="4" operator="containsText" text="This">
      <formula>NOT(ISERROR(SEARCH("This",J50)))</formula>
    </cfRule>
  </conditionalFormatting>
  <conditionalFormatting sqref="K31:K32">
    <cfRule type="containsText" dxfId="7" priority="39" operator="containsText" text="Please">
      <formula>NOT(ISERROR(SEARCH("Please",K31)))</formula>
    </cfRule>
  </conditionalFormatting>
  <conditionalFormatting sqref="L53:L54">
    <cfRule type="cellIs" dxfId="6" priority="5" operator="greaterThan">
      <formula>-1</formula>
    </cfRule>
  </conditionalFormatting>
  <conditionalFormatting sqref="L53:L58">
    <cfRule type="containsBlanks" dxfId="5" priority="6">
      <formula>LEN(TRIM(L53))=0</formula>
    </cfRule>
  </conditionalFormatting>
  <conditionalFormatting sqref="M46:M49">
    <cfRule type="containsBlanks" dxfId="4" priority="2">
      <formula>LEN(TRIM(M46))=0</formula>
    </cfRule>
  </conditionalFormatting>
  <conditionalFormatting sqref="N6">
    <cfRule type="notContainsBlanks" dxfId="3" priority="61">
      <formula>LEN(TRIM(N6))&gt;0</formula>
    </cfRule>
  </conditionalFormatting>
  <conditionalFormatting sqref="N15:N16">
    <cfRule type="notContainsBlanks" dxfId="2" priority="59">
      <formula>LEN(TRIM(N15))&gt;0</formula>
    </cfRule>
  </conditionalFormatting>
  <conditionalFormatting sqref="N7:Q8">
    <cfRule type="notContainsBlanks" dxfId="1" priority="11">
      <formula>LEN(TRIM(N7))&gt;0</formula>
    </cfRule>
  </conditionalFormatting>
  <conditionalFormatting sqref="O46:O49">
    <cfRule type="containsBlanks" dxfId="0" priority="1">
      <formula>LEN(TRIM(O46))=0</formula>
    </cfRule>
  </conditionalFormatting>
  <dataValidations count="2">
    <dataValidation type="list" allowBlank="1" sqref="K7" xr:uid="{00000000-0002-0000-0200-000000000000}">
      <formula1>Configs</formula1>
    </dataValidation>
    <dataValidation type="list" errorStyle="warning" showErrorMessage="1" error="This device does not support the selected configuration. Please select another device." sqref="K8:L8" xr:uid="{384E3FBA-DE7D-45B6-B544-F0F71B3B50E7}">
      <formula1>DropDownList</formula1>
    </dataValidation>
  </dataValidations>
  <hyperlinks>
    <hyperlink ref="N2" location="'Table of Contents'!B17" display="Table of Contents" xr:uid="{00000000-0004-0000-0200-000000000000}"/>
  </hyperlinks>
  <pageMargins left="0.7" right="0.7" top="0.75" bottom="0.75" header="0.3" footer="0.3"/>
  <pageSetup orientation="portrait"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6DD10C39-24F5-4862-A156-3A7EC5034D6F}">
            <xm:f>NOT(ISERROR(SEARCH("=",J55)))</xm:f>
            <xm:f>"="</xm:f>
            <x14:dxf>
              <font>
                <color rgb="FF9C0006"/>
              </font>
            </x14:dxf>
          </x14:cfRule>
          <xm:sqref>J55:K60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E307"/>
  <sheetViews>
    <sheetView zoomScale="85" zoomScaleNormal="85" workbookViewId="0">
      <pane xSplit="1" topLeftCell="B1" activePane="topRight" state="frozen"/>
      <selection pane="topRight" activeCell="AV24" sqref="AV24"/>
    </sheetView>
  </sheetViews>
  <sheetFormatPr defaultColWidth="8.73046875" defaultRowHeight="14.25"/>
  <cols>
    <col min="1" max="1" width="23.86328125" style="136" customWidth="1"/>
    <col min="2" max="2" width="24.73046875" style="136" customWidth="1"/>
    <col min="3" max="3" width="12.73046875" style="136" customWidth="1"/>
    <col min="4" max="4" width="13.59765625" style="136" bestFit="1" customWidth="1"/>
    <col min="5" max="5" width="14.265625" style="136" customWidth="1"/>
    <col min="6" max="6" width="13.265625" style="136" bestFit="1" customWidth="1"/>
    <col min="7" max="7" width="14" style="136" bestFit="1" customWidth="1"/>
    <col min="8" max="8" width="15" style="136" bestFit="1" customWidth="1"/>
    <col min="9" max="9" width="15.73046875" style="136" customWidth="1"/>
    <col min="10" max="10" width="14.73046875" style="136" bestFit="1" customWidth="1"/>
    <col min="11" max="11" width="15.3984375" style="136" bestFit="1" customWidth="1"/>
    <col min="12" max="12" width="7.3984375" style="136" bestFit="1" customWidth="1"/>
    <col min="13" max="13" width="8.1328125" style="136" bestFit="1" customWidth="1"/>
    <col min="14" max="14" width="11.86328125" style="136" bestFit="1" customWidth="1"/>
    <col min="15" max="15" width="12.59765625" style="136" bestFit="1" customWidth="1"/>
    <col min="16" max="16" width="20.1328125" style="136" bestFit="1" customWidth="1"/>
    <col min="17" max="17" width="20.1328125" style="136" customWidth="1"/>
    <col min="18" max="18" width="10" style="136" bestFit="1" customWidth="1"/>
    <col min="19" max="19" width="10.265625" style="136" bestFit="1" customWidth="1"/>
    <col min="20" max="20" width="17.59765625" style="136" customWidth="1"/>
    <col min="21" max="21" width="28.265625" style="136" customWidth="1"/>
    <col min="22" max="22" width="26.86328125" style="136" customWidth="1"/>
    <col min="23" max="23" width="12.3984375" style="136" customWidth="1"/>
    <col min="24" max="24" width="11.73046875" style="136" customWidth="1"/>
    <col min="25" max="25" width="9.59765625" style="136" hidden="1" customWidth="1"/>
    <col min="26" max="26" width="9.73046875" style="136" hidden="1" customWidth="1"/>
    <col min="27" max="27" width="13.53125" style="136" hidden="1" customWidth="1"/>
    <col min="28" max="28" width="10.3984375" style="136" hidden="1" customWidth="1"/>
    <col min="29" max="29" width="9.86328125" style="136" hidden="1" customWidth="1"/>
    <col min="30" max="30" width="5.3984375" style="136" hidden="1" customWidth="1"/>
    <col min="31" max="31" width="9.3984375" style="136" hidden="1" customWidth="1"/>
    <col min="32" max="32" width="6.1328125" style="136" hidden="1" customWidth="1"/>
    <col min="33" max="33" width="5.59765625" style="136" hidden="1" customWidth="1"/>
    <col min="34" max="36" width="23.265625" style="136" hidden="1" customWidth="1"/>
    <col min="37" max="37" width="14.3984375" style="136" hidden="1" customWidth="1"/>
    <col min="38" max="40" width="9.1328125" style="136" hidden="1" customWidth="1"/>
    <col min="41" max="41" width="12.73046875" style="136" hidden="1" customWidth="1"/>
    <col min="42" max="42" width="9.1328125" style="136" hidden="1" customWidth="1"/>
    <col min="43" max="81" width="8.73046875" style="136"/>
    <col min="82" max="82" width="22.1328125" style="136" bestFit="1" customWidth="1"/>
    <col min="83" max="83" width="107.59765625" style="136" customWidth="1"/>
    <col min="84" max="16384" width="8.73046875" style="136"/>
  </cols>
  <sheetData>
    <row r="1" spans="1:53" ht="15" customHeight="1">
      <c r="A1" s="692"/>
      <c r="B1" s="692"/>
      <c r="C1" s="692"/>
      <c r="D1" s="692"/>
      <c r="E1" s="692"/>
      <c r="F1" s="692"/>
      <c r="G1" s="692"/>
      <c r="H1" s="692"/>
      <c r="I1" s="692"/>
      <c r="J1" s="692"/>
      <c r="K1" s="692"/>
      <c r="L1" s="692"/>
      <c r="M1" s="692"/>
    </row>
    <row r="2" spans="1:53" ht="15" customHeight="1">
      <c r="A2" s="692"/>
      <c r="B2" s="692"/>
      <c r="C2" s="692"/>
      <c r="D2" s="692"/>
      <c r="E2" s="692"/>
      <c r="F2" s="692"/>
      <c r="G2" s="692"/>
      <c r="H2" s="692"/>
      <c r="I2" s="692"/>
      <c r="J2" s="692"/>
      <c r="K2" s="692"/>
      <c r="L2" s="692"/>
      <c r="M2" s="692"/>
    </row>
    <row r="3" spans="1:53" ht="15" customHeight="1">
      <c r="A3" s="692"/>
      <c r="B3" s="692"/>
      <c r="C3" s="692"/>
      <c r="D3" s="692"/>
      <c r="E3" s="692"/>
      <c r="F3" s="692"/>
      <c r="G3" s="692"/>
      <c r="H3" s="692"/>
      <c r="I3" s="692"/>
      <c r="J3" s="692"/>
      <c r="K3" s="692"/>
      <c r="L3" s="692"/>
      <c r="M3" s="692"/>
    </row>
    <row r="4" spans="1:53" ht="15" customHeight="1">
      <c r="A4" s="635"/>
      <c r="B4" s="635"/>
      <c r="C4" s="635"/>
      <c r="D4" s="635"/>
      <c r="E4" s="635"/>
      <c r="F4" s="635"/>
      <c r="G4" s="635"/>
      <c r="H4" s="635"/>
      <c r="I4" s="635"/>
      <c r="J4" s="635"/>
      <c r="K4" s="635"/>
      <c r="L4" s="635"/>
      <c r="M4" s="635"/>
      <c r="N4" s="635"/>
      <c r="O4" s="635"/>
      <c r="P4" s="635"/>
      <c r="Q4" s="635"/>
      <c r="R4" s="635"/>
      <c r="S4" s="635"/>
      <c r="T4" s="635"/>
      <c r="U4" s="635"/>
      <c r="V4" s="635"/>
      <c r="W4" s="635"/>
      <c r="X4" s="635"/>
      <c r="Y4" s="635"/>
      <c r="Z4" s="635"/>
      <c r="AA4" s="635"/>
      <c r="AB4" s="635"/>
      <c r="AC4" s="635"/>
      <c r="AD4" s="635"/>
      <c r="AE4" s="635"/>
      <c r="AF4" s="635"/>
      <c r="AG4" s="635"/>
      <c r="AH4" s="635"/>
      <c r="AI4" s="635"/>
      <c r="AJ4" s="635"/>
      <c r="AK4" s="635"/>
      <c r="AL4" s="635"/>
      <c r="AM4" s="635"/>
      <c r="AN4" s="635"/>
      <c r="AO4" s="635"/>
      <c r="AP4" s="635"/>
      <c r="AQ4" s="635"/>
      <c r="AR4" s="635"/>
      <c r="AS4" s="635"/>
      <c r="AT4" s="635"/>
      <c r="AU4" s="635"/>
      <c r="AV4" s="635"/>
      <c r="AW4" s="635"/>
      <c r="AX4" s="635"/>
      <c r="AY4" s="635"/>
      <c r="AZ4" s="635"/>
      <c r="BA4" s="635"/>
    </row>
    <row r="5" spans="1:53" ht="15" customHeight="1">
      <c r="B5" s="234" t="s">
        <v>212</v>
      </c>
      <c r="C5" s="234"/>
      <c r="D5" s="234"/>
      <c r="E5" s="234"/>
      <c r="F5" s="234"/>
      <c r="G5" s="234"/>
      <c r="H5" s="234"/>
      <c r="I5" s="234"/>
      <c r="J5" s="207"/>
      <c r="K5" s="207"/>
      <c r="L5" s="207"/>
      <c r="M5" s="207"/>
      <c r="P5" s="233" t="s">
        <v>8</v>
      </c>
      <c r="Q5" s="233"/>
      <c r="R5" s="233"/>
      <c r="S5" s="233"/>
    </row>
    <row r="6" spans="1:53" ht="15" customHeight="1">
      <c r="A6" s="235" t="s">
        <v>17</v>
      </c>
      <c r="B6" s="236" t="s">
        <v>50</v>
      </c>
      <c r="C6" s="236" t="s">
        <v>450</v>
      </c>
      <c r="D6" s="236" t="s">
        <v>22</v>
      </c>
      <c r="E6" s="236" t="s">
        <v>21</v>
      </c>
      <c r="F6" s="236" t="s">
        <v>25</v>
      </c>
      <c r="G6" s="236" t="s">
        <v>26</v>
      </c>
      <c r="H6" s="236" t="s">
        <v>27</v>
      </c>
      <c r="I6" s="236" t="s">
        <v>30</v>
      </c>
      <c r="J6" s="237" t="s">
        <v>31</v>
      </c>
      <c r="K6" s="237" t="s">
        <v>28</v>
      </c>
      <c r="L6" s="237" t="s">
        <v>29</v>
      </c>
      <c r="M6" s="237" t="s">
        <v>32</v>
      </c>
      <c r="N6" s="237" t="s">
        <v>33</v>
      </c>
      <c r="O6" s="237" t="s">
        <v>34</v>
      </c>
      <c r="P6" s="237" t="s">
        <v>37</v>
      </c>
      <c r="Q6" s="236" t="s">
        <v>451</v>
      </c>
      <c r="R6" s="236" t="s">
        <v>84</v>
      </c>
      <c r="S6" s="236" t="s">
        <v>85</v>
      </c>
      <c r="T6" s="237" t="s">
        <v>19</v>
      </c>
      <c r="U6" s="237" t="s">
        <v>35</v>
      </c>
      <c r="V6" s="236" t="s">
        <v>108</v>
      </c>
      <c r="W6" s="236" t="s">
        <v>110</v>
      </c>
      <c r="X6" s="238" t="s">
        <v>36</v>
      </c>
      <c r="Y6" s="239" t="s">
        <v>62</v>
      </c>
      <c r="Z6" s="239" t="s">
        <v>63</v>
      </c>
      <c r="AA6" s="239" t="s">
        <v>524</v>
      </c>
      <c r="AB6" s="239" t="s">
        <v>64</v>
      </c>
      <c r="AC6" s="239" t="s">
        <v>71</v>
      </c>
      <c r="AD6" s="239" t="s">
        <v>65</v>
      </c>
      <c r="AE6" s="239" t="s">
        <v>523</v>
      </c>
      <c r="AF6" s="239" t="s">
        <v>66</v>
      </c>
      <c r="AG6" s="239" t="s">
        <v>70</v>
      </c>
      <c r="AH6" s="239" t="s">
        <v>67</v>
      </c>
      <c r="AI6" s="239" t="s">
        <v>522</v>
      </c>
      <c r="AJ6" s="239" t="s">
        <v>68</v>
      </c>
      <c r="AK6" s="239" t="s">
        <v>69</v>
      </c>
    </row>
    <row r="7" spans="1:53" ht="15" hidden="1" customHeight="1">
      <c r="A7" s="240" t="s">
        <v>60</v>
      </c>
      <c r="B7" s="396">
        <v>0</v>
      </c>
      <c r="C7" s="352"/>
      <c r="D7" s="242">
        <v>0</v>
      </c>
      <c r="E7" s="242">
        <v>0</v>
      </c>
      <c r="F7" s="242">
        <v>0</v>
      </c>
      <c r="G7" s="242">
        <v>0</v>
      </c>
      <c r="H7" s="242">
        <v>0</v>
      </c>
      <c r="I7" s="242">
        <v>0</v>
      </c>
      <c r="J7" s="242">
        <v>0</v>
      </c>
      <c r="K7" s="242">
        <v>0</v>
      </c>
      <c r="L7" s="242">
        <v>0</v>
      </c>
      <c r="M7" s="242">
        <v>0</v>
      </c>
      <c r="N7" s="242">
        <v>0</v>
      </c>
      <c r="O7" s="242">
        <v>0</v>
      </c>
      <c r="P7" s="242">
        <v>0</v>
      </c>
      <c r="Q7" s="276"/>
      <c r="R7" s="254">
        <v>-100</v>
      </c>
      <c r="S7" s="254">
        <v>150</v>
      </c>
      <c r="T7" s="242" t="s">
        <v>140</v>
      </c>
      <c r="U7" s="243">
        <v>0</v>
      </c>
      <c r="V7" s="255">
        <v>0</v>
      </c>
      <c r="W7" s="258">
        <v>0</v>
      </c>
      <c r="X7" s="244">
        <v>0</v>
      </c>
      <c r="Y7" s="245">
        <f t="shared" ref="Y7:Y133" si="0">ROW()-6</f>
        <v>1</v>
      </c>
      <c r="Z7" s="245">
        <f>IF(OR($AN$18=Devices[[#This Row],[Input Type]], 0=Devices[[#This Row],[Input Type]]),Devices[[#This Row],[Row Num]], " ")</f>
        <v>1</v>
      </c>
      <c r="AA7" s="245">
        <f>IF(OR($AN$19=Devices[[#This Row],[Input Type]], 0=Devices[[#This Row],[Input Type]]),Devices[[#This Row],[Row Num]], " ")</f>
        <v>1</v>
      </c>
      <c r="AB7" s="245">
        <f>IF(OR($AN$20=Devices[[#This Row],[Input Type]], 0=Devices[[#This Row],[Input Type]]),Devices[[#This Row],[Row Num]], " ")</f>
        <v>1</v>
      </c>
      <c r="AC7" s="245">
        <f>IF(0=Devices[[#This Row],[Input Type]], Devices[[#This Row],[Row Num]], " ")</f>
        <v>1</v>
      </c>
      <c r="AD7" s="245">
        <f>IFERROR(SMALL(Devices[Row Sel D], Devices[[#This Row],[Row Num]]), " ")</f>
        <v>1</v>
      </c>
      <c r="AE7" s="245">
        <f>IFERROR(SMALL(Devices[Row Sel IntRdiv], Devices[[#This Row],[Row Num]]), " ")</f>
        <v>1</v>
      </c>
      <c r="AF7" s="245">
        <f>IFERROR(SMALL(Devices[Row Sel SE], Devices[[#This Row],[Row Num]]), " ")</f>
        <v>1</v>
      </c>
      <c r="AG7" s="245">
        <f>IFERROR(SMALL(Devices[Row Sel N], Devices[[#This Row],[Row Num]]), " ")</f>
        <v>1</v>
      </c>
      <c r="AH7" s="245" t="str">
        <f>IFERROR(INDEX(Devices[Part], Devices[[#This Row],[Sel D]], 1), "")</f>
        <v>[Select Device]</v>
      </c>
      <c r="AI7" s="245" t="str">
        <f>IFERROR(INDEX(Devices[Part], Devices[[#This Row],[Sel IntRdiv]], 1), "")</f>
        <v>[Select Device]</v>
      </c>
      <c r="AJ7" s="245" t="str">
        <f>IFERROR(INDEX(Devices[Part], Devices[[#This Row],[Sel SE]], 1), "")</f>
        <v>[Select Device]</v>
      </c>
      <c r="AK7" s="245" t="str">
        <f>IFERROR(INDEX(Devices[Part], Devices[[#This Row],[Sel N]], 1), "")</f>
        <v>[Select Device]</v>
      </c>
    </row>
    <row r="8" spans="1:53" ht="15" customHeight="1">
      <c r="A8" s="281" t="s">
        <v>471</v>
      </c>
      <c r="B8" s="241" t="s">
        <v>51</v>
      </c>
      <c r="C8" s="352" t="s">
        <v>455</v>
      </c>
      <c r="D8" s="249">
        <v>4.0000000000000002E-4</v>
      </c>
      <c r="E8" s="249">
        <v>2.5000000000000001E-3</v>
      </c>
      <c r="F8" s="250">
        <v>5</v>
      </c>
      <c r="G8" s="250">
        <v>35</v>
      </c>
      <c r="H8" s="398">
        <v>0.01</v>
      </c>
      <c r="I8" s="398">
        <v>0.2</v>
      </c>
      <c r="J8" s="252">
        <v>0.25</v>
      </c>
      <c r="K8" s="252">
        <v>3</v>
      </c>
      <c r="L8" s="249">
        <v>1.2999999999999999E-4</v>
      </c>
      <c r="M8" s="249">
        <v>4.0000000000000001E-3</v>
      </c>
      <c r="N8" s="250">
        <v>1</v>
      </c>
      <c r="O8" s="250">
        <v>3</v>
      </c>
      <c r="P8" s="276">
        <v>250</v>
      </c>
      <c r="Q8" s="399">
        <v>3.3</v>
      </c>
      <c r="R8" s="277">
        <v>-40</v>
      </c>
      <c r="S8" s="277">
        <v>125</v>
      </c>
      <c r="T8" s="256"/>
      <c r="U8" s="256">
        <v>27500</v>
      </c>
      <c r="V8" s="278">
        <v>27500</v>
      </c>
      <c r="W8" s="435">
        <v>13.2</v>
      </c>
      <c r="X8" s="310">
        <v>0</v>
      </c>
      <c r="Y8" s="245">
        <f t="shared" ref="Y8:Y23" si="1">ROW()-6</f>
        <v>2</v>
      </c>
      <c r="Z8" s="245">
        <f>IF(OR($AN$18=Devices[[#This Row],[Input Type]], 0=Devices[[#This Row],[Input Type]]),Devices[[#This Row],[Row Num]], " ")</f>
        <v>2</v>
      </c>
      <c r="AA8" s="245" t="str">
        <f>IF(OR($AN$19=Devices[[#This Row],[Input Type]], 0=Devices[[#This Row],[Input Type]]),Devices[[#This Row],[Row Num]], " ")</f>
        <v xml:space="preserve"> </v>
      </c>
      <c r="AB8" s="245" t="str">
        <f>IF(OR($AN$20=Devices[[#This Row],[Input Type]], 0=Devices[[#This Row],[Input Type]]),Devices[[#This Row],[Row Num]], " ")</f>
        <v xml:space="preserve"> </v>
      </c>
      <c r="AC8" s="245" t="str">
        <f>IF(0=Devices[[#This Row],[Input Type]], Devices[[#This Row],[Row Num]], " ")</f>
        <v xml:space="preserve"> </v>
      </c>
      <c r="AD8" s="245">
        <f>IFERROR(SMALL(Devices[Row Sel D], Devices[[#This Row],[Row Num]]), " ")</f>
        <v>2</v>
      </c>
      <c r="AE8" s="245">
        <f>IFERROR(SMALL(Devices[Row Sel IntRdiv], Devices[[#This Row],[Row Num]]), " ")</f>
        <v>86</v>
      </c>
      <c r="AF8" s="245">
        <f>IFERROR(SMALL(Devices[Row Sel SE], Devices[[#This Row],[Row Num]]), " ")</f>
        <v>16</v>
      </c>
      <c r="AG8" s="245">
        <f>IFERROR(SMALL(Devices[Row Sel N], Devices[[#This Row],[Row Num]]), " ")</f>
        <v>90</v>
      </c>
      <c r="AH8" s="245" t="str">
        <f>IFERROR(INDEX(Devices[Part], Devices[[#This Row],[Sel D]], 1), "")</f>
        <v>AMC0100R (Vref = 3.3V)</v>
      </c>
      <c r="AI8" s="245" t="str">
        <f>IFERROR(INDEX(Devices[Part], Devices[[#This Row],[Sel IntRdiv]], 1), "")</f>
        <v>AMC0380Dxx</v>
      </c>
      <c r="AJ8" s="245" t="str">
        <f>IFERROR(INDEX(Devices[Part], Devices[[#This Row],[Sel SE]], 1), "")</f>
        <v>AMC0211D</v>
      </c>
      <c r="AK8" s="245">
        <f>IFERROR(INDEX(Devices[Part], Devices[[#This Row],[Sel N]], 1), "")</f>
        <v>0</v>
      </c>
      <c r="AN8" s="246" t="s">
        <v>520</v>
      </c>
    </row>
    <row r="9" spans="1:53" ht="15" customHeight="1">
      <c r="A9" s="281" t="s">
        <v>472</v>
      </c>
      <c r="B9" s="241" t="s">
        <v>51</v>
      </c>
      <c r="C9" s="352" t="s">
        <v>455</v>
      </c>
      <c r="D9" s="249">
        <v>4.0000000000000002E-4</v>
      </c>
      <c r="E9" s="249">
        <v>2.5000000000000001E-3</v>
      </c>
      <c r="F9" s="250">
        <v>5</v>
      </c>
      <c r="G9" s="250">
        <v>35</v>
      </c>
      <c r="H9" s="398">
        <v>0.01</v>
      </c>
      <c r="I9" s="398">
        <v>0.2</v>
      </c>
      <c r="J9" s="252">
        <v>0.25</v>
      </c>
      <c r="K9" s="252">
        <v>3</v>
      </c>
      <c r="L9" s="249">
        <v>1.2999999999999999E-4</v>
      </c>
      <c r="M9" s="249">
        <v>4.0000000000000001E-3</v>
      </c>
      <c r="N9" s="250">
        <v>1</v>
      </c>
      <c r="O9" s="250">
        <v>3</v>
      </c>
      <c r="P9" s="276">
        <v>250</v>
      </c>
      <c r="Q9" s="399">
        <v>5</v>
      </c>
      <c r="R9" s="277">
        <v>-40</v>
      </c>
      <c r="S9" s="277">
        <v>125</v>
      </c>
      <c r="T9" s="256"/>
      <c r="U9" s="256">
        <v>27500</v>
      </c>
      <c r="V9" s="278">
        <v>27500</v>
      </c>
      <c r="W9" s="435">
        <v>20</v>
      </c>
      <c r="X9" s="310">
        <v>0</v>
      </c>
      <c r="Y9" s="245">
        <f t="shared" si="1"/>
        <v>3</v>
      </c>
      <c r="Z9" s="245">
        <f>IF(OR($AN$18=Devices[[#This Row],[Input Type]], 0=Devices[[#This Row],[Input Type]]),Devices[[#This Row],[Row Num]], " ")</f>
        <v>3</v>
      </c>
      <c r="AA9" s="245" t="str">
        <f>IF(OR($AN$19=Devices[[#This Row],[Input Type]], 0=Devices[[#This Row],[Input Type]]),Devices[[#This Row],[Row Num]], " ")</f>
        <v xml:space="preserve"> </v>
      </c>
      <c r="AB9" s="245" t="str">
        <f>IF(OR($AN$20=Devices[[#This Row],[Input Type]], 0=Devices[[#This Row],[Input Type]]),Devices[[#This Row],[Row Num]], " ")</f>
        <v xml:space="preserve"> </v>
      </c>
      <c r="AC9" s="245" t="str">
        <f>IF(0=Devices[[#This Row],[Input Type]], Devices[[#This Row],[Row Num]], " ")</f>
        <v xml:space="preserve"> </v>
      </c>
      <c r="AD9" s="245">
        <f>IFERROR(SMALL(Devices[Row Sel D], Devices[[#This Row],[Row Num]]), " ")</f>
        <v>3</v>
      </c>
      <c r="AE9" s="245">
        <f>IFERROR(SMALL(Devices[Row Sel IntRdiv], Devices[[#This Row],[Row Num]]), " ")</f>
        <v>87</v>
      </c>
      <c r="AF9" s="245">
        <f>IFERROR(SMALL(Devices[Row Sel SE], Devices[[#This Row],[Row Num]]), " ")</f>
        <v>17</v>
      </c>
      <c r="AG9" s="245">
        <f>IFERROR(SMALL(Devices[Row Sel N], Devices[[#This Row],[Row Num]]), " ")</f>
        <v>91</v>
      </c>
      <c r="AH9" s="245" t="str">
        <f>IFERROR(INDEX(Devices[Part], Devices[[#This Row],[Sel D]], 1), "")</f>
        <v>AMC0100R (Vref = 5V)</v>
      </c>
      <c r="AI9" s="245" t="str">
        <f>IFERROR(INDEX(Devices[Part], Devices[[#This Row],[Sel IntRdiv]], 1), "")</f>
        <v>AMC0380Dxx-Q1</v>
      </c>
      <c r="AJ9" s="245" t="str">
        <f>IFERROR(INDEX(Devices[Part], Devices[[#This Row],[Sel SE]], 1), "")</f>
        <v>AMC0211D-Q1</v>
      </c>
      <c r="AK9" s="245">
        <f>IFERROR(INDEX(Devices[Part], Devices[[#This Row],[Sel N]], 1), "")</f>
        <v>0</v>
      </c>
      <c r="AN9" s="136" t="str">
        <f>IF('Voltage Sensing Calculator'!K7="Single-Ended",'Device Comparison'!$AJ$8:$AJ$30,IF(OR('Voltage Sensing Calculator'!K7="Differential without R3'",'Voltage Sensing Calculator'!K7="Differential with R3'"),'Device Comparison'!$AH$8:$AH$68,IF('Voltage Sensing Calculator'!K7="Integrated Resistor Divider",'Device Comparison'!AI8:AI11,'Device Comparison'!$AK$7)))</f>
        <v>AMC0211D-Q1</v>
      </c>
    </row>
    <row r="10" spans="1:53" ht="15" customHeight="1">
      <c r="A10" s="281" t="s">
        <v>473</v>
      </c>
      <c r="B10" s="241" t="s">
        <v>51</v>
      </c>
      <c r="C10" s="352" t="s">
        <v>51</v>
      </c>
      <c r="D10" s="249">
        <v>4.0000000000000002E-4</v>
      </c>
      <c r="E10" s="249">
        <v>2.5000000000000001E-3</v>
      </c>
      <c r="F10" s="250">
        <v>5</v>
      </c>
      <c r="G10" s="250">
        <v>35</v>
      </c>
      <c r="H10" s="398">
        <v>0.01</v>
      </c>
      <c r="I10" s="398">
        <v>0.2</v>
      </c>
      <c r="J10" s="252">
        <v>0.25</v>
      </c>
      <c r="K10" s="252">
        <v>2</v>
      </c>
      <c r="L10" s="249">
        <v>1.2999999999999999E-4</v>
      </c>
      <c r="M10" s="249">
        <v>4.0000000000000002E-4</v>
      </c>
      <c r="N10" s="250">
        <v>1</v>
      </c>
      <c r="O10" s="250">
        <v>3</v>
      </c>
      <c r="P10" s="276">
        <v>250</v>
      </c>
      <c r="Q10" s="399">
        <v>2.0499999999999998</v>
      </c>
      <c r="R10" s="277">
        <v>-40</v>
      </c>
      <c r="S10" s="277">
        <v>125</v>
      </c>
      <c r="T10" s="256"/>
      <c r="U10" s="256">
        <v>27500</v>
      </c>
      <c r="V10" s="278">
        <v>27500</v>
      </c>
      <c r="W10" s="435">
        <v>8.1999999999999993</v>
      </c>
      <c r="X10" s="310">
        <v>0</v>
      </c>
      <c r="Y10" s="245">
        <f t="shared" si="1"/>
        <v>4</v>
      </c>
      <c r="Z10" s="245">
        <f>IF(OR($AN$18=Devices[[#This Row],[Input Type]], 0=Devices[[#This Row],[Input Type]]),Devices[[#This Row],[Row Num]], " ")</f>
        <v>4</v>
      </c>
      <c r="AA10" s="245" t="str">
        <f>IF(OR($AN$19=Devices[[#This Row],[Input Type]], 0=Devices[[#This Row],[Input Type]]),Devices[[#This Row],[Row Num]], " ")</f>
        <v xml:space="preserve"> </v>
      </c>
      <c r="AB10" s="245" t="str">
        <f>IF(OR($AN$20=Devices[[#This Row],[Input Type]], 0=Devices[[#This Row],[Input Type]]),Devices[[#This Row],[Row Num]], " ")</f>
        <v xml:space="preserve"> </v>
      </c>
      <c r="AC10" s="245" t="str">
        <f>IF(0=Devices[[#This Row],[Input Type]], Devices[[#This Row],[Row Num]], " ")</f>
        <v xml:space="preserve"> </v>
      </c>
      <c r="AD10" s="245">
        <f>IFERROR(SMALL(Devices[Row Sel D], Devices[[#This Row],[Row Num]]), " ")</f>
        <v>4</v>
      </c>
      <c r="AE10" s="245">
        <f>IFERROR(SMALL(Devices[Row Sel IntRdiv], Devices[[#This Row],[Row Num]]), " ")</f>
        <v>88</v>
      </c>
      <c r="AF10" s="245">
        <f>IFERROR(SMALL(Devices[Row Sel SE], Devices[[#This Row],[Row Num]]), " ")</f>
        <v>18</v>
      </c>
      <c r="AG10" s="245">
        <f>IFERROR(SMALL(Devices[Row Sel N], Devices[[#This Row],[Row Num]]), " ")</f>
        <v>92</v>
      </c>
      <c r="AH10" s="245" t="str">
        <f>IFERROR(INDEX(Devices[Part], Devices[[#This Row],[Sel D]], 1), "")</f>
        <v>AMC0200D</v>
      </c>
      <c r="AI10" s="245" t="str">
        <f>IFERROR(INDEX(Devices[Part], Devices[[#This Row],[Sel IntRdiv]], 1), "")</f>
        <v>AMC0381Dxx</v>
      </c>
      <c r="AJ10" s="245" t="str">
        <f>IFERROR(INDEX(Devices[Part], Devices[[#This Row],[Sel SE]], 1), "")</f>
        <v>AMC0211R-Q1 (Vref = 3.3V)</v>
      </c>
      <c r="AK10" s="245">
        <f>IFERROR(INDEX(Devices[Part], Devices[[#This Row],[Sel N]], 1), "")</f>
        <v>0</v>
      </c>
      <c r="AM10" s="246"/>
    </row>
    <row r="11" spans="1:53" ht="15" customHeight="1">
      <c r="A11" s="281" t="s">
        <v>474</v>
      </c>
      <c r="B11" s="241" t="s">
        <v>51</v>
      </c>
      <c r="C11" s="352" t="s">
        <v>51</v>
      </c>
      <c r="D11" s="249">
        <v>4.0000000000000002E-4</v>
      </c>
      <c r="E11" s="249">
        <v>2.5000000000000001E-3</v>
      </c>
      <c r="F11" s="250">
        <v>5</v>
      </c>
      <c r="G11" s="250">
        <v>35</v>
      </c>
      <c r="H11" s="398">
        <v>0.01</v>
      </c>
      <c r="I11" s="398">
        <v>0.2</v>
      </c>
      <c r="J11" s="252">
        <v>0.25</v>
      </c>
      <c r="K11" s="252">
        <v>2</v>
      </c>
      <c r="L11" s="249">
        <v>1.2999999999999999E-4</v>
      </c>
      <c r="M11" s="249">
        <v>4.0000000000000002E-4</v>
      </c>
      <c r="N11" s="250">
        <v>1</v>
      </c>
      <c r="O11" s="250">
        <v>3</v>
      </c>
      <c r="P11" s="276">
        <v>250</v>
      </c>
      <c r="Q11" s="295">
        <v>2.0499999999999998</v>
      </c>
      <c r="R11" s="277">
        <v>-40</v>
      </c>
      <c r="S11" s="277">
        <v>125</v>
      </c>
      <c r="T11" s="256"/>
      <c r="U11" s="256">
        <v>27500</v>
      </c>
      <c r="V11" s="278">
        <v>27500</v>
      </c>
      <c r="W11" s="435">
        <v>8.1999999999999993</v>
      </c>
      <c r="X11" s="310">
        <v>0</v>
      </c>
      <c r="Y11" s="245">
        <f t="shared" si="1"/>
        <v>5</v>
      </c>
      <c r="Z11" s="245">
        <f>IF(OR($AN$18=Devices[[#This Row],[Input Type]], 0=Devices[[#This Row],[Input Type]]),Devices[[#This Row],[Row Num]], " ")</f>
        <v>5</v>
      </c>
      <c r="AA11" s="245" t="str">
        <f>IF(OR($AN$19=Devices[[#This Row],[Input Type]], 0=Devices[[#This Row],[Input Type]]),Devices[[#This Row],[Row Num]], " ")</f>
        <v xml:space="preserve"> </v>
      </c>
      <c r="AB11" s="245" t="str">
        <f>IF(OR($AN$20=Devices[[#This Row],[Input Type]], 0=Devices[[#This Row],[Input Type]]),Devices[[#This Row],[Row Num]], " ")</f>
        <v xml:space="preserve"> </v>
      </c>
      <c r="AC11" s="245" t="str">
        <f>IF(0=Devices[[#This Row],[Input Type]], Devices[[#This Row],[Row Num]], " ")</f>
        <v xml:space="preserve"> </v>
      </c>
      <c r="AD11" s="245">
        <f>IFERROR(SMALL(Devices[Row Sel D], Devices[[#This Row],[Row Num]]), " ")</f>
        <v>5</v>
      </c>
      <c r="AE11" s="245">
        <f>IFERROR(SMALL(Devices[Row Sel IntRdiv], Devices[[#This Row],[Row Num]]), " ")</f>
        <v>89</v>
      </c>
      <c r="AF11" s="245">
        <f>IFERROR(SMALL(Devices[Row Sel SE], Devices[[#This Row],[Row Num]]), " ")</f>
        <v>19</v>
      </c>
      <c r="AG11" s="245">
        <f>IFERROR(SMALL(Devices[Row Sel N], Devices[[#This Row],[Row Num]]), " ")</f>
        <v>93</v>
      </c>
      <c r="AH11" s="245" t="str">
        <f>IFERROR(INDEX(Devices[Part], Devices[[#This Row],[Sel D]], 1), "")</f>
        <v>AMC0200D-Q1</v>
      </c>
      <c r="AI11" s="245" t="str">
        <f>IFERROR(INDEX(Devices[Part], Devices[[#This Row],[Sel IntRdiv]], 1), "")</f>
        <v>AMC0381Dxx-Q1</v>
      </c>
      <c r="AJ11" s="245" t="str">
        <f>IFERROR(INDEX(Devices[Part], Devices[[#This Row],[Sel SE]], 1), "")</f>
        <v>AMC0211R-Q1 (Vref = 5V)</v>
      </c>
      <c r="AK11" s="245">
        <f>IFERROR(INDEX(Devices[Part], Devices[[#This Row],[Sel N]], 1), "")</f>
        <v>0</v>
      </c>
      <c r="AM11" s="246"/>
    </row>
    <row r="12" spans="1:53" ht="15" customHeight="1">
      <c r="A12" s="281" t="s">
        <v>475</v>
      </c>
      <c r="B12" s="241" t="s">
        <v>51</v>
      </c>
      <c r="C12" s="352" t="s">
        <v>455</v>
      </c>
      <c r="D12" s="249">
        <v>4.0000000000000002E-4</v>
      </c>
      <c r="E12" s="249">
        <v>2.5000000000000001E-3</v>
      </c>
      <c r="F12" s="250">
        <v>5</v>
      </c>
      <c r="G12" s="250">
        <v>35</v>
      </c>
      <c r="H12" s="398">
        <v>0.01</v>
      </c>
      <c r="I12" s="398">
        <v>0.2</v>
      </c>
      <c r="J12" s="252">
        <v>0.25</v>
      </c>
      <c r="K12" s="252">
        <v>3</v>
      </c>
      <c r="L12" s="249">
        <v>1.2999999999999999E-4</v>
      </c>
      <c r="M12" s="249">
        <v>4.0000000000000001E-3</v>
      </c>
      <c r="N12" s="250">
        <v>1</v>
      </c>
      <c r="O12" s="250">
        <v>3</v>
      </c>
      <c r="P12" s="276">
        <v>250</v>
      </c>
      <c r="Q12" s="295">
        <v>3.3</v>
      </c>
      <c r="R12" s="277">
        <v>-40</v>
      </c>
      <c r="S12" s="277">
        <v>125</v>
      </c>
      <c r="T12" s="256"/>
      <c r="U12" s="256">
        <v>27500</v>
      </c>
      <c r="V12" s="278">
        <v>27500</v>
      </c>
      <c r="W12" s="435">
        <v>13.2</v>
      </c>
      <c r="X12" s="310">
        <v>0</v>
      </c>
      <c r="Y12" s="245">
        <f t="shared" si="1"/>
        <v>6</v>
      </c>
      <c r="Z12" s="245">
        <f>IF(OR($AN$18=Devices[[#This Row],[Input Type]], 0=Devices[[#This Row],[Input Type]]),Devices[[#This Row],[Row Num]], " ")</f>
        <v>6</v>
      </c>
      <c r="AA12" s="245" t="str">
        <f>IF(OR($AN$19=Devices[[#This Row],[Input Type]], 0=Devices[[#This Row],[Input Type]]),Devices[[#This Row],[Row Num]], " ")</f>
        <v xml:space="preserve"> </v>
      </c>
      <c r="AB12" s="245" t="str">
        <f>IF(OR($AN$20=Devices[[#This Row],[Input Type]], 0=Devices[[#This Row],[Input Type]]),Devices[[#This Row],[Row Num]], " ")</f>
        <v xml:space="preserve"> </v>
      </c>
      <c r="AC12" s="245" t="str">
        <f>IF(0=Devices[[#This Row],[Input Type]], Devices[[#This Row],[Row Num]], " ")</f>
        <v xml:space="preserve"> </v>
      </c>
      <c r="AD12" s="245">
        <f>IFERROR(SMALL(Devices[Row Sel D], Devices[[#This Row],[Row Num]]), " ")</f>
        <v>6</v>
      </c>
      <c r="AE12" s="245">
        <f>IFERROR(SMALL(Devices[Row Sel IntRdiv], Devices[[#This Row],[Row Num]]), " ")</f>
        <v>90</v>
      </c>
      <c r="AF12" s="245">
        <f>IFERROR(SMALL(Devices[Row Sel SE], Devices[[#This Row],[Row Num]]), " ")</f>
        <v>20</v>
      </c>
      <c r="AG12" s="245">
        <f>IFERROR(SMALL(Devices[Row Sel N], Devices[[#This Row],[Row Num]]), " ")</f>
        <v>94</v>
      </c>
      <c r="AH12" s="245" t="str">
        <f>IFERROR(INDEX(Devices[Part], Devices[[#This Row],[Sel D]], 1), "")</f>
        <v>AMC0200R (Vref = 3.3V)</v>
      </c>
      <c r="AI12" s="245">
        <f>IFERROR(INDEX(Devices[Part], Devices[[#This Row],[Sel IntRdiv]], 1), "")</f>
        <v>0</v>
      </c>
      <c r="AJ12" s="245" t="str">
        <f>IFERROR(INDEX(Devices[Part], Devices[[#This Row],[Sel SE]], 1), "")</f>
        <v>AMC0211S</v>
      </c>
      <c r="AK12" s="245">
        <f>IFERROR(INDEX(Devices[Part], Devices[[#This Row],[Sel N]], 1), "")</f>
        <v>0</v>
      </c>
      <c r="AM12" s="246"/>
      <c r="AO12" s="136">
        <f>IF('Voltage Sensing Calculator'!K7="Integrated Resistor Divider",'Device Comparison'!AI7:AI17,2)</f>
        <v>2</v>
      </c>
    </row>
    <row r="13" spans="1:53" ht="15" customHeight="1">
      <c r="A13" s="281" t="s">
        <v>476</v>
      </c>
      <c r="B13" s="241" t="s">
        <v>51</v>
      </c>
      <c r="C13" s="352" t="s">
        <v>455</v>
      </c>
      <c r="D13" s="249">
        <v>4.0000000000000002E-4</v>
      </c>
      <c r="E13" s="249">
        <v>2.5000000000000001E-3</v>
      </c>
      <c r="F13" s="250">
        <v>5</v>
      </c>
      <c r="G13" s="250">
        <v>35</v>
      </c>
      <c r="H13" s="398">
        <v>0.01</v>
      </c>
      <c r="I13" s="398">
        <v>0.2</v>
      </c>
      <c r="J13" s="252">
        <v>0.25</v>
      </c>
      <c r="K13" s="252">
        <v>3</v>
      </c>
      <c r="L13" s="249">
        <v>1.2999999999999999E-4</v>
      </c>
      <c r="M13" s="249">
        <v>4.0000000000000001E-3</v>
      </c>
      <c r="N13" s="250">
        <v>1</v>
      </c>
      <c r="O13" s="250">
        <v>3</v>
      </c>
      <c r="P13" s="276">
        <v>250</v>
      </c>
      <c r="Q13" s="399">
        <v>5</v>
      </c>
      <c r="R13" s="277">
        <v>-40</v>
      </c>
      <c r="S13" s="277">
        <v>125</v>
      </c>
      <c r="T13" s="256"/>
      <c r="U13" s="256">
        <v>27500</v>
      </c>
      <c r="V13" s="278">
        <v>27500</v>
      </c>
      <c r="W13" s="435">
        <v>20</v>
      </c>
      <c r="X13" s="310">
        <v>0</v>
      </c>
      <c r="Y13" s="245">
        <f t="shared" si="1"/>
        <v>7</v>
      </c>
      <c r="Z13" s="245">
        <f>IF(OR($AN$18=Devices[[#This Row],[Input Type]], 0=Devices[[#This Row],[Input Type]]),Devices[[#This Row],[Row Num]], " ")</f>
        <v>7</v>
      </c>
      <c r="AA13" s="245" t="str">
        <f>IF(OR($AN$19=Devices[[#This Row],[Input Type]], 0=Devices[[#This Row],[Input Type]]),Devices[[#This Row],[Row Num]], " ")</f>
        <v xml:space="preserve"> </v>
      </c>
      <c r="AB13" s="245" t="str">
        <f>IF(OR($AN$20=Devices[[#This Row],[Input Type]], 0=Devices[[#This Row],[Input Type]]),Devices[[#This Row],[Row Num]], " ")</f>
        <v xml:space="preserve"> </v>
      </c>
      <c r="AC13" s="245" t="str">
        <f>IF(0=Devices[[#This Row],[Input Type]], Devices[[#This Row],[Row Num]], " ")</f>
        <v xml:space="preserve"> </v>
      </c>
      <c r="AD13" s="245">
        <f>IFERROR(SMALL(Devices[Row Sel D], Devices[[#This Row],[Row Num]]), " ")</f>
        <v>7</v>
      </c>
      <c r="AE13" s="245">
        <f>IFERROR(SMALL(Devices[Row Sel IntRdiv], Devices[[#This Row],[Row Num]]), " ")</f>
        <v>91</v>
      </c>
      <c r="AF13" s="245">
        <f>IFERROR(SMALL(Devices[Row Sel SE], Devices[[#This Row],[Row Num]]), " ")</f>
        <v>21</v>
      </c>
      <c r="AG13" s="245">
        <f>IFERROR(SMALL(Devices[Row Sel N], Devices[[#This Row],[Row Num]]), " ")</f>
        <v>95</v>
      </c>
      <c r="AH13" s="245" t="str">
        <f>IFERROR(INDEX(Devices[Part], Devices[[#This Row],[Sel D]], 1), "")</f>
        <v>AMC0200R (Vref = 5V)</v>
      </c>
      <c r="AI13" s="245">
        <f>IFERROR(INDEX(Devices[Part], Devices[[#This Row],[Sel IntRdiv]], 1), "")</f>
        <v>0</v>
      </c>
      <c r="AJ13" s="245" t="str">
        <f>IFERROR(INDEX(Devices[Part], Devices[[#This Row],[Sel SE]], 1), "")</f>
        <v>AMC0211S-Q1</v>
      </c>
      <c r="AK13" s="245">
        <f>IFERROR(INDEX(Devices[Part], Devices[[#This Row],[Sel N]], 1), "")</f>
        <v>0</v>
      </c>
      <c r="AM13" s="246"/>
    </row>
    <row r="14" spans="1:53" ht="15" customHeight="1">
      <c r="A14" s="281" t="s">
        <v>477</v>
      </c>
      <c r="B14" s="241" t="s">
        <v>51</v>
      </c>
      <c r="C14" s="352" t="s">
        <v>455</v>
      </c>
      <c r="D14" s="249">
        <v>4.0000000000000002E-4</v>
      </c>
      <c r="E14" s="249">
        <v>2.5000000000000001E-3</v>
      </c>
      <c r="F14" s="250">
        <v>5</v>
      </c>
      <c r="G14" s="250">
        <v>35</v>
      </c>
      <c r="H14" s="398">
        <v>0.01</v>
      </c>
      <c r="I14" s="398">
        <v>0.2</v>
      </c>
      <c r="J14" s="252">
        <v>0.25</v>
      </c>
      <c r="K14" s="252">
        <v>3</v>
      </c>
      <c r="L14" s="249">
        <v>1.2999999999999999E-4</v>
      </c>
      <c r="M14" s="249">
        <v>4.0000000000000001E-3</v>
      </c>
      <c r="N14" s="250">
        <v>1</v>
      </c>
      <c r="O14" s="250">
        <v>3</v>
      </c>
      <c r="P14" s="276">
        <v>250</v>
      </c>
      <c r="Q14" s="399">
        <v>3.3</v>
      </c>
      <c r="R14" s="277">
        <v>-40</v>
      </c>
      <c r="S14" s="277">
        <v>125</v>
      </c>
      <c r="T14" s="256"/>
      <c r="U14" s="256">
        <v>27500</v>
      </c>
      <c r="V14" s="278">
        <v>27500</v>
      </c>
      <c r="W14" s="435">
        <v>13.2</v>
      </c>
      <c r="X14" s="310">
        <v>0</v>
      </c>
      <c r="Y14" s="245">
        <f t="shared" si="1"/>
        <v>8</v>
      </c>
      <c r="Z14" s="245">
        <f>IF(OR($AN$18=Devices[[#This Row],[Input Type]], 0=Devices[[#This Row],[Input Type]]),Devices[[#This Row],[Row Num]], " ")</f>
        <v>8</v>
      </c>
      <c r="AA14" s="245" t="str">
        <f>IF(OR($AN$19=Devices[[#This Row],[Input Type]], 0=Devices[[#This Row],[Input Type]]),Devices[[#This Row],[Row Num]], " ")</f>
        <v xml:space="preserve"> </v>
      </c>
      <c r="AB14" s="245" t="str">
        <f>IF(OR($AN$20=Devices[[#This Row],[Input Type]], 0=Devices[[#This Row],[Input Type]]),Devices[[#This Row],[Row Num]], " ")</f>
        <v xml:space="preserve"> </v>
      </c>
      <c r="AC14" s="245" t="str">
        <f>IF(0=Devices[[#This Row],[Input Type]], Devices[[#This Row],[Row Num]], " ")</f>
        <v xml:space="preserve"> </v>
      </c>
      <c r="AD14" s="245">
        <f>IFERROR(SMALL(Devices[Row Sel D], Devices[[#This Row],[Row Num]]), " ")</f>
        <v>8</v>
      </c>
      <c r="AE14" s="245">
        <f>IFERROR(SMALL(Devices[Row Sel IntRdiv], Devices[[#This Row],[Row Num]]), " ")</f>
        <v>92</v>
      </c>
      <c r="AF14" s="245">
        <f>IFERROR(SMALL(Devices[Row Sel SE], Devices[[#This Row],[Row Num]]), " ")</f>
        <v>42</v>
      </c>
      <c r="AG14" s="245">
        <f>IFERROR(SMALL(Devices[Row Sel N], Devices[[#This Row],[Row Num]]), " ")</f>
        <v>96</v>
      </c>
      <c r="AH14" s="245" t="str">
        <f>IFERROR(INDEX(Devices[Part], Devices[[#This Row],[Sel D]], 1), "")</f>
        <v>AMC0200R-Q1 (Vref = 3.3V)</v>
      </c>
      <c r="AI14" s="245">
        <f>IFERROR(INDEX(Devices[Part], Devices[[#This Row],[Sel IntRdiv]], 1), "")</f>
        <v>0</v>
      </c>
      <c r="AJ14" s="245" t="str">
        <f>IFERROR(INDEX(Devices[Part], Devices[[#This Row],[Sel SE]], 1), "")</f>
        <v>AMC0311D</v>
      </c>
      <c r="AK14" s="245">
        <f>IFERROR(INDEX(Devices[Part], Devices[[#This Row],[Sel N]], 1), "")</f>
        <v>0</v>
      </c>
    </row>
    <row r="15" spans="1:53" ht="15" customHeight="1">
      <c r="A15" s="281" t="s">
        <v>478</v>
      </c>
      <c r="B15" s="241" t="s">
        <v>51</v>
      </c>
      <c r="C15" s="352" t="s">
        <v>455</v>
      </c>
      <c r="D15" s="249">
        <v>4.0000000000000002E-4</v>
      </c>
      <c r="E15" s="249">
        <v>2.5000000000000001E-3</v>
      </c>
      <c r="F15" s="250">
        <v>5</v>
      </c>
      <c r="G15" s="250">
        <v>35</v>
      </c>
      <c r="H15" s="398">
        <v>0.01</v>
      </c>
      <c r="I15" s="398">
        <v>0.2</v>
      </c>
      <c r="J15" s="252">
        <v>0.25</v>
      </c>
      <c r="K15" s="252">
        <v>3</v>
      </c>
      <c r="L15" s="249">
        <v>1.2999999999999999E-4</v>
      </c>
      <c r="M15" s="249">
        <v>4.0000000000000001E-3</v>
      </c>
      <c r="N15" s="250">
        <v>1</v>
      </c>
      <c r="O15" s="250">
        <v>3</v>
      </c>
      <c r="P15" s="276">
        <v>250</v>
      </c>
      <c r="Q15" s="399">
        <v>5</v>
      </c>
      <c r="R15" s="277">
        <v>-40</v>
      </c>
      <c r="S15" s="277">
        <v>125</v>
      </c>
      <c r="T15" s="256"/>
      <c r="U15" s="256">
        <v>27500</v>
      </c>
      <c r="V15" s="278">
        <v>27500</v>
      </c>
      <c r="W15" s="435">
        <v>20</v>
      </c>
      <c r="X15" s="310">
        <v>0</v>
      </c>
      <c r="Y15" s="245">
        <f t="shared" si="1"/>
        <v>9</v>
      </c>
      <c r="Z15" s="245">
        <f>IF(OR($AN$18=Devices[[#This Row],[Input Type]], 0=Devices[[#This Row],[Input Type]]),Devices[[#This Row],[Row Num]], " ")</f>
        <v>9</v>
      </c>
      <c r="AA15" s="245" t="str">
        <f>IF(OR($AN$19=Devices[[#This Row],[Input Type]], 0=Devices[[#This Row],[Input Type]]),Devices[[#This Row],[Row Num]], " ")</f>
        <v xml:space="preserve"> </v>
      </c>
      <c r="AB15" s="245" t="str">
        <f>IF(OR($AN$20=Devices[[#This Row],[Input Type]], 0=Devices[[#This Row],[Input Type]]),Devices[[#This Row],[Row Num]], " ")</f>
        <v xml:space="preserve"> </v>
      </c>
      <c r="AC15" s="245" t="str">
        <f>IF(0=Devices[[#This Row],[Input Type]], Devices[[#This Row],[Row Num]], " ")</f>
        <v xml:space="preserve"> </v>
      </c>
      <c r="AD15" s="245">
        <f>IFERROR(SMALL(Devices[Row Sel D], Devices[[#This Row],[Row Num]]), " ")</f>
        <v>9</v>
      </c>
      <c r="AE15" s="245">
        <f>IFERROR(SMALL(Devices[Row Sel IntRdiv], Devices[[#This Row],[Row Num]]), " ")</f>
        <v>93</v>
      </c>
      <c r="AF15" s="245">
        <f>IFERROR(SMALL(Devices[Row Sel SE], Devices[[#This Row],[Row Num]]), " ")</f>
        <v>43</v>
      </c>
      <c r="AG15" s="245">
        <f>IFERROR(SMALL(Devices[Row Sel N], Devices[[#This Row],[Row Num]]), " ")</f>
        <v>97</v>
      </c>
      <c r="AH15" s="245" t="str">
        <f>IFERROR(INDEX(Devices[Part], Devices[[#This Row],[Sel D]], 1), "")</f>
        <v>AMC0200R-Q1 (Vref = 5V)</v>
      </c>
      <c r="AI15" s="245">
        <f>IFERROR(INDEX(Devices[Part], Devices[[#This Row],[Sel IntRdiv]], 1), "")</f>
        <v>0</v>
      </c>
      <c r="AJ15" s="245" t="str">
        <f>IFERROR(INDEX(Devices[Part], Devices[[#This Row],[Sel SE]], 1), "")</f>
        <v>AMC0311D-Q1</v>
      </c>
      <c r="AK15" s="245">
        <f>IFERROR(INDEX(Devices[Part], Devices[[#This Row],[Sel N]], 1), "")</f>
        <v>0</v>
      </c>
      <c r="AM15" s="246"/>
    </row>
    <row r="16" spans="1:53" ht="15" customHeight="1">
      <c r="A16" s="281" t="s">
        <v>479</v>
      </c>
      <c r="B16" s="241" t="s">
        <v>51</v>
      </c>
      <c r="C16" s="352" t="s">
        <v>51</v>
      </c>
      <c r="D16" s="249">
        <v>4.0000000000000002E-4</v>
      </c>
      <c r="E16" s="249">
        <v>2E-3</v>
      </c>
      <c r="F16" s="250">
        <v>5</v>
      </c>
      <c r="G16" s="250">
        <v>45</v>
      </c>
      <c r="H16" s="398">
        <v>4.0000000000000001E-3</v>
      </c>
      <c r="I16" s="398">
        <v>0.05</v>
      </c>
      <c r="J16" s="252">
        <v>0.1</v>
      </c>
      <c r="K16" s="252">
        <v>0.9</v>
      </c>
      <c r="L16" s="249">
        <v>1.2999999999999999E-4</v>
      </c>
      <c r="M16" s="249">
        <v>4.0000000000000002E-4</v>
      </c>
      <c r="N16" s="250">
        <v>1</v>
      </c>
      <c r="O16" s="250">
        <v>3</v>
      </c>
      <c r="P16" s="276">
        <v>50</v>
      </c>
      <c r="Q16" s="399">
        <v>2.0499999999999998</v>
      </c>
      <c r="R16" s="277">
        <v>-40</v>
      </c>
      <c r="S16" s="277">
        <v>125</v>
      </c>
      <c r="T16" s="256"/>
      <c r="U16" s="256">
        <v>6300</v>
      </c>
      <c r="V16" s="278">
        <v>6300</v>
      </c>
      <c r="W16" s="435">
        <v>41</v>
      </c>
      <c r="X16" s="310">
        <v>0</v>
      </c>
      <c r="Y16" s="245">
        <f t="shared" si="1"/>
        <v>10</v>
      </c>
      <c r="Z16" s="245">
        <f>IF(OR($AN$18=Devices[[#This Row],[Input Type]], 0=Devices[[#This Row],[Input Type]]),Devices[[#This Row],[Row Num]], " ")</f>
        <v>10</v>
      </c>
      <c r="AA16" s="245" t="str">
        <f>IF(OR($AN$19=Devices[[#This Row],[Input Type]], 0=Devices[[#This Row],[Input Type]]),Devices[[#This Row],[Row Num]], " ")</f>
        <v xml:space="preserve"> </v>
      </c>
      <c r="AB16" s="245" t="str">
        <f>IF(OR($AN$20=Devices[[#This Row],[Input Type]], 0=Devices[[#This Row],[Input Type]]),Devices[[#This Row],[Row Num]], " ")</f>
        <v xml:space="preserve"> </v>
      </c>
      <c r="AC16" s="245" t="str">
        <f>IF(0=Devices[[#This Row],[Input Type]], Devices[[#This Row],[Row Num]], " ")</f>
        <v xml:space="preserve"> </v>
      </c>
      <c r="AD16" s="245">
        <f>IFERROR(SMALL(Devices[Row Sel D], Devices[[#This Row],[Row Num]]), " ")</f>
        <v>10</v>
      </c>
      <c r="AE16" s="245">
        <f>IFERROR(SMALL(Devices[Row Sel IntRdiv], Devices[[#This Row],[Row Num]]), " ")</f>
        <v>94</v>
      </c>
      <c r="AF16" s="245">
        <f>IFERROR(SMALL(Devices[Row Sel SE], Devices[[#This Row],[Row Num]]), " ")</f>
        <v>44</v>
      </c>
      <c r="AG16" s="245">
        <f>IFERROR(SMALL(Devices[Row Sel N], Devices[[#This Row],[Row Num]]), " ")</f>
        <v>98</v>
      </c>
      <c r="AH16" s="245" t="str">
        <f>IFERROR(INDEX(Devices[Part], Devices[[#This Row],[Sel D]], 1), "")</f>
        <v>AMC0202D</v>
      </c>
      <c r="AI16" s="245">
        <f>IFERROR(INDEX(Devices[Part], Devices[[#This Row],[Sel IntRdiv]], 1), "")</f>
        <v>0</v>
      </c>
      <c r="AJ16" s="245" t="str">
        <f>IFERROR(INDEX(Devices[Part], Devices[[#This Row],[Sel SE]], 1), "")</f>
        <v>AMC0311R-Q1 (Vref = 3.3V)</v>
      </c>
      <c r="AK16" s="245">
        <f>IFERROR(INDEX(Devices[Part], Devices[[#This Row],[Sel N]], 1), "")</f>
        <v>0</v>
      </c>
      <c r="AM16" s="246"/>
      <c r="AN16" s="136" t="s">
        <v>50</v>
      </c>
    </row>
    <row r="17" spans="1:40" ht="15" customHeight="1">
      <c r="A17" s="281" t="s">
        <v>480</v>
      </c>
      <c r="B17" s="241" t="s">
        <v>51</v>
      </c>
      <c r="C17" s="352" t="s">
        <v>51</v>
      </c>
      <c r="D17" s="249">
        <v>4.0000000000000002E-4</v>
      </c>
      <c r="E17" s="249">
        <v>2E-3</v>
      </c>
      <c r="F17" s="250">
        <v>5</v>
      </c>
      <c r="G17" s="250">
        <v>45</v>
      </c>
      <c r="H17" s="398">
        <v>4.0000000000000001E-3</v>
      </c>
      <c r="I17" s="398">
        <v>0.05</v>
      </c>
      <c r="J17" s="252">
        <v>0.1</v>
      </c>
      <c r="K17" s="252">
        <v>0.9</v>
      </c>
      <c r="L17" s="249">
        <v>1.2999999999999999E-4</v>
      </c>
      <c r="M17" s="249">
        <v>4.0000000000000002E-4</v>
      </c>
      <c r="N17" s="250">
        <v>1</v>
      </c>
      <c r="O17" s="250">
        <v>3</v>
      </c>
      <c r="P17" s="276">
        <v>50</v>
      </c>
      <c r="Q17" s="399">
        <v>2.0499999999999998</v>
      </c>
      <c r="R17" s="277">
        <v>-40</v>
      </c>
      <c r="S17" s="277">
        <v>125</v>
      </c>
      <c r="T17" s="256"/>
      <c r="U17" s="256">
        <v>6300</v>
      </c>
      <c r="V17" s="278">
        <v>6300</v>
      </c>
      <c r="W17" s="435">
        <v>41</v>
      </c>
      <c r="X17" s="310">
        <v>0</v>
      </c>
      <c r="Y17" s="245">
        <f t="shared" si="1"/>
        <v>11</v>
      </c>
      <c r="Z17" s="245">
        <f>IF(OR($AN$18=Devices[[#This Row],[Input Type]], 0=Devices[[#This Row],[Input Type]]),Devices[[#This Row],[Row Num]], " ")</f>
        <v>11</v>
      </c>
      <c r="AA17" s="245" t="str">
        <f>IF(OR($AN$19=Devices[[#This Row],[Input Type]], 0=Devices[[#This Row],[Input Type]]),Devices[[#This Row],[Row Num]], " ")</f>
        <v xml:space="preserve"> </v>
      </c>
      <c r="AB17" s="245" t="str">
        <f>IF(OR($AN$20=Devices[[#This Row],[Input Type]], 0=Devices[[#This Row],[Input Type]]),Devices[[#This Row],[Row Num]], " ")</f>
        <v xml:space="preserve"> </v>
      </c>
      <c r="AC17" s="245" t="str">
        <f>IF(0=Devices[[#This Row],[Input Type]], Devices[[#This Row],[Row Num]], " ")</f>
        <v xml:space="preserve"> </v>
      </c>
      <c r="AD17" s="245">
        <f>IFERROR(SMALL(Devices[Row Sel D], Devices[[#This Row],[Row Num]]), " ")</f>
        <v>11</v>
      </c>
      <c r="AE17" s="245">
        <f>IFERROR(SMALL(Devices[Row Sel IntRdiv], Devices[[#This Row],[Row Num]]), " ")</f>
        <v>95</v>
      </c>
      <c r="AF17" s="245">
        <f>IFERROR(SMALL(Devices[Row Sel SE], Devices[[#This Row],[Row Num]]), " ")</f>
        <v>45</v>
      </c>
      <c r="AG17" s="245">
        <f>IFERROR(SMALL(Devices[Row Sel N], Devices[[#This Row],[Row Num]]), " ")</f>
        <v>99</v>
      </c>
      <c r="AH17" s="245" t="str">
        <f>IFERROR(INDEX(Devices[Part], Devices[[#This Row],[Sel D]], 1), "")</f>
        <v>AMC0202D-Q1</v>
      </c>
      <c r="AI17" s="245">
        <f>IFERROR(INDEX(Devices[Part], Devices[[#This Row],[Sel IntRdiv]], 1), "")</f>
        <v>0</v>
      </c>
      <c r="AJ17" s="245" t="str">
        <f>IFERROR(INDEX(Devices[Part], Devices[[#This Row],[Sel SE]], 1), "")</f>
        <v>AMC0311R-Q1 (Vref = 5V)</v>
      </c>
      <c r="AK17" s="245">
        <f>IFERROR(INDEX(Devices[Part], Devices[[#This Row],[Sel N]], 1), "")</f>
        <v>0</v>
      </c>
      <c r="AM17" s="246"/>
    </row>
    <row r="18" spans="1:40" ht="15" customHeight="1">
      <c r="A18" s="281" t="s">
        <v>481</v>
      </c>
      <c r="B18" s="241" t="s">
        <v>51</v>
      </c>
      <c r="C18" s="352" t="s">
        <v>455</v>
      </c>
      <c r="D18" s="249">
        <v>4.0000000000000002E-4</v>
      </c>
      <c r="E18" s="249">
        <v>2E-3</v>
      </c>
      <c r="F18" s="250">
        <v>5</v>
      </c>
      <c r="G18" s="250">
        <v>45</v>
      </c>
      <c r="H18" s="398">
        <v>4.0000000000000001E-3</v>
      </c>
      <c r="I18" s="398">
        <v>0.05</v>
      </c>
      <c r="J18" s="252">
        <v>0.15</v>
      </c>
      <c r="K18" s="252">
        <v>1</v>
      </c>
      <c r="L18" s="249">
        <v>1.3300000000000001E-4</v>
      </c>
      <c r="M18" s="249">
        <v>4.0000000000000002E-4</v>
      </c>
      <c r="N18" s="250">
        <v>1</v>
      </c>
      <c r="O18" s="250">
        <v>3</v>
      </c>
      <c r="P18" s="276">
        <v>50</v>
      </c>
      <c r="Q18" s="399">
        <v>3.3</v>
      </c>
      <c r="R18" s="277">
        <v>-40</v>
      </c>
      <c r="S18" s="277">
        <v>125</v>
      </c>
      <c r="T18" s="256"/>
      <c r="U18" s="256">
        <v>6300</v>
      </c>
      <c r="V18" s="278">
        <v>6300</v>
      </c>
      <c r="W18" s="435">
        <v>66</v>
      </c>
      <c r="X18" s="310">
        <v>0</v>
      </c>
      <c r="Y18" s="245">
        <f t="shared" si="1"/>
        <v>12</v>
      </c>
      <c r="Z18" s="245">
        <f>IF(OR($AN$18=Devices[[#This Row],[Input Type]], 0=Devices[[#This Row],[Input Type]]),Devices[[#This Row],[Row Num]], " ")</f>
        <v>12</v>
      </c>
      <c r="AA18" s="245" t="str">
        <f>IF(OR($AN$19=Devices[[#This Row],[Input Type]], 0=Devices[[#This Row],[Input Type]]),Devices[[#This Row],[Row Num]], " ")</f>
        <v xml:space="preserve"> </v>
      </c>
      <c r="AB18" s="245" t="str">
        <f>IF(OR($AN$20=Devices[[#This Row],[Input Type]], 0=Devices[[#This Row],[Input Type]]),Devices[[#This Row],[Row Num]], " ")</f>
        <v xml:space="preserve"> </v>
      </c>
      <c r="AC18" s="245" t="str">
        <f>IF(0=Devices[[#This Row],[Input Type]], Devices[[#This Row],[Row Num]], " ")</f>
        <v xml:space="preserve"> </v>
      </c>
      <c r="AD18" s="245">
        <f>IFERROR(SMALL(Devices[Row Sel D], Devices[[#This Row],[Row Num]]), " ")</f>
        <v>12</v>
      </c>
      <c r="AE18" s="245">
        <f>IFERROR(SMALL(Devices[Row Sel IntRdiv], Devices[[#This Row],[Row Num]]), " ")</f>
        <v>96</v>
      </c>
      <c r="AF18" s="245">
        <f>IFERROR(SMALL(Devices[Row Sel SE], Devices[[#This Row],[Row Num]]), " ")</f>
        <v>46</v>
      </c>
      <c r="AG18" s="245">
        <f>IFERROR(SMALL(Devices[Row Sel N], Devices[[#This Row],[Row Num]]), " ")</f>
        <v>100</v>
      </c>
      <c r="AH18" s="245" t="str">
        <f>IFERROR(INDEX(Devices[Part], Devices[[#This Row],[Sel D]], 1), "")</f>
        <v>AMC0202R (Vref = 3.3V)</v>
      </c>
      <c r="AI18" s="245">
        <f>IFERROR(INDEX(Devices[Part], Devices[[#This Row],[Sel IntRdiv]], 1), "")</f>
        <v>0</v>
      </c>
      <c r="AJ18" s="245" t="str">
        <f>IFERROR(INDEX(Devices[Part], Devices[[#This Row],[Sel SE]], 1), "")</f>
        <v>AMC0311S</v>
      </c>
      <c r="AK18" s="245">
        <f>IFERROR(INDEX(Devices[Part], Devices[[#This Row],[Sel N]], 1), "")</f>
        <v>0</v>
      </c>
      <c r="AM18" s="246"/>
      <c r="AN18" s="136" t="s">
        <v>51</v>
      </c>
    </row>
    <row r="19" spans="1:40" ht="15" customHeight="1">
      <c r="A19" s="281" t="s">
        <v>482</v>
      </c>
      <c r="B19" s="241" t="s">
        <v>51</v>
      </c>
      <c r="C19" s="352" t="s">
        <v>455</v>
      </c>
      <c r="D19" s="249">
        <v>4.0000000000000002E-4</v>
      </c>
      <c r="E19" s="249">
        <v>2E-3</v>
      </c>
      <c r="F19" s="250">
        <v>5</v>
      </c>
      <c r="G19" s="250">
        <v>45</v>
      </c>
      <c r="H19" s="398">
        <v>4.0000000000000001E-3</v>
      </c>
      <c r="I19" s="398">
        <v>0.05</v>
      </c>
      <c r="J19" s="252">
        <v>0.15</v>
      </c>
      <c r="K19" s="252">
        <v>1</v>
      </c>
      <c r="L19" s="249">
        <v>1.3300000000000001E-4</v>
      </c>
      <c r="M19" s="249">
        <v>4.0000000000000002E-4</v>
      </c>
      <c r="N19" s="250">
        <v>1</v>
      </c>
      <c r="O19" s="250">
        <v>3</v>
      </c>
      <c r="P19" s="276">
        <v>50</v>
      </c>
      <c r="Q19" s="399">
        <v>5</v>
      </c>
      <c r="R19" s="277">
        <v>-40</v>
      </c>
      <c r="S19" s="277">
        <v>125</v>
      </c>
      <c r="T19" s="256"/>
      <c r="U19" s="256">
        <v>6300</v>
      </c>
      <c r="V19" s="278">
        <v>6300</v>
      </c>
      <c r="W19" s="435">
        <v>100</v>
      </c>
      <c r="X19" s="310">
        <v>0</v>
      </c>
      <c r="Y19" s="245">
        <f t="shared" si="1"/>
        <v>13</v>
      </c>
      <c r="Z19" s="245">
        <f>IF(OR($AN$18=Devices[[#This Row],[Input Type]], 0=Devices[[#This Row],[Input Type]]),Devices[[#This Row],[Row Num]], " ")</f>
        <v>13</v>
      </c>
      <c r="AA19" s="245" t="str">
        <f>IF(OR($AN$19=Devices[[#This Row],[Input Type]], 0=Devices[[#This Row],[Input Type]]),Devices[[#This Row],[Row Num]], " ")</f>
        <v xml:space="preserve"> </v>
      </c>
      <c r="AB19" s="245" t="str">
        <f>IF(OR($AN$20=Devices[[#This Row],[Input Type]], 0=Devices[[#This Row],[Input Type]]),Devices[[#This Row],[Row Num]], " ")</f>
        <v xml:space="preserve"> </v>
      </c>
      <c r="AC19" s="245" t="str">
        <f>IF(0=Devices[[#This Row],[Input Type]], Devices[[#This Row],[Row Num]], " ")</f>
        <v xml:space="preserve"> </v>
      </c>
      <c r="AD19" s="245">
        <f>IFERROR(SMALL(Devices[Row Sel D], Devices[[#This Row],[Row Num]]), " ")</f>
        <v>13</v>
      </c>
      <c r="AE19" s="245">
        <f>IFERROR(SMALL(Devices[Row Sel IntRdiv], Devices[[#This Row],[Row Num]]), " ")</f>
        <v>97</v>
      </c>
      <c r="AF19" s="245">
        <f>IFERROR(SMALL(Devices[Row Sel SE], Devices[[#This Row],[Row Num]]), " ")</f>
        <v>47</v>
      </c>
      <c r="AG19" s="245">
        <f>IFERROR(SMALL(Devices[Row Sel N], Devices[[#This Row],[Row Num]]), " ")</f>
        <v>101</v>
      </c>
      <c r="AH19" s="245" t="str">
        <f>IFERROR(INDEX(Devices[Part], Devices[[#This Row],[Sel D]], 1), "")</f>
        <v>AMC0202R (Vref = 5V)</v>
      </c>
      <c r="AI19" s="245">
        <f>IFERROR(INDEX(Devices[Part], Devices[[#This Row],[Sel IntRdiv]], 1), "")</f>
        <v>0</v>
      </c>
      <c r="AJ19" s="245" t="str">
        <f>IFERROR(INDEX(Devices[Part], Devices[[#This Row],[Sel SE]], 1), "")</f>
        <v>AMC0311S-Q1</v>
      </c>
      <c r="AK19" s="245">
        <f>IFERROR(INDEX(Devices[Part], Devices[[#This Row],[Sel N]], 1), "")</f>
        <v>0</v>
      </c>
      <c r="AM19" s="246"/>
      <c r="AN19" s="136" t="s">
        <v>521</v>
      </c>
    </row>
    <row r="20" spans="1:40" ht="15" customHeight="1">
      <c r="A20" s="281" t="s">
        <v>483</v>
      </c>
      <c r="B20" s="241" t="s">
        <v>51</v>
      </c>
      <c r="C20" s="352" t="s">
        <v>455</v>
      </c>
      <c r="D20" s="249">
        <v>4.0000000000000002E-4</v>
      </c>
      <c r="E20" s="249">
        <v>2E-3</v>
      </c>
      <c r="F20" s="250">
        <v>5</v>
      </c>
      <c r="G20" s="250">
        <v>45</v>
      </c>
      <c r="H20" s="398">
        <v>4.0000000000000001E-3</v>
      </c>
      <c r="I20" s="398">
        <v>0.05</v>
      </c>
      <c r="J20" s="252">
        <v>0.15</v>
      </c>
      <c r="K20" s="252">
        <v>1</v>
      </c>
      <c r="L20" s="249">
        <v>1.3300000000000001E-4</v>
      </c>
      <c r="M20" s="249">
        <v>4.0000000000000002E-4</v>
      </c>
      <c r="N20" s="250">
        <v>1</v>
      </c>
      <c r="O20" s="250">
        <v>3</v>
      </c>
      <c r="P20" s="276">
        <v>50</v>
      </c>
      <c r="Q20" s="399">
        <v>3.3</v>
      </c>
      <c r="R20" s="277">
        <v>-40</v>
      </c>
      <c r="S20" s="277">
        <v>125</v>
      </c>
      <c r="T20" s="256"/>
      <c r="U20" s="256">
        <v>6300</v>
      </c>
      <c r="V20" s="278">
        <v>6300</v>
      </c>
      <c r="W20" s="435">
        <v>66</v>
      </c>
      <c r="X20" s="310">
        <v>0</v>
      </c>
      <c r="Y20" s="245">
        <f t="shared" si="1"/>
        <v>14</v>
      </c>
      <c r="Z20" s="245">
        <f>IF(OR($AN$18=Devices[[#This Row],[Input Type]], 0=Devices[[#This Row],[Input Type]]),Devices[[#This Row],[Row Num]], " ")</f>
        <v>14</v>
      </c>
      <c r="AA20" s="245" t="str">
        <f>IF(OR($AN$19=Devices[[#This Row],[Input Type]], 0=Devices[[#This Row],[Input Type]]),Devices[[#This Row],[Row Num]], " ")</f>
        <v xml:space="preserve"> </v>
      </c>
      <c r="AB20" s="245" t="str">
        <f>IF(OR($AN$20=Devices[[#This Row],[Input Type]], 0=Devices[[#This Row],[Input Type]]),Devices[[#This Row],[Row Num]], " ")</f>
        <v xml:space="preserve"> </v>
      </c>
      <c r="AC20" s="245" t="str">
        <f>IF(0=Devices[[#This Row],[Input Type]], Devices[[#This Row],[Row Num]], " ")</f>
        <v xml:space="preserve"> </v>
      </c>
      <c r="AD20" s="245">
        <f>IFERROR(SMALL(Devices[Row Sel D], Devices[[#This Row],[Row Num]]), " ")</f>
        <v>14</v>
      </c>
      <c r="AE20" s="245">
        <f>IFERROR(SMALL(Devices[Row Sel IntRdiv], Devices[[#This Row],[Row Num]]), " ")</f>
        <v>98</v>
      </c>
      <c r="AF20" s="245">
        <f>IFERROR(SMALL(Devices[Row Sel SE], Devices[[#This Row],[Row Num]]), " ")</f>
        <v>58</v>
      </c>
      <c r="AG20" s="245">
        <f>IFERROR(SMALL(Devices[Row Sel N], Devices[[#This Row],[Row Num]]), " ")</f>
        <v>102</v>
      </c>
      <c r="AH20" s="245" t="str">
        <f>IFERROR(INDEX(Devices[Part], Devices[[#This Row],[Sel D]], 1), "")</f>
        <v>AMC0202R-Q1 (Vref = 3.3V)</v>
      </c>
      <c r="AI20" s="245">
        <f>IFERROR(INDEX(Devices[Part], Devices[[#This Row],[Sel IntRdiv]], 1), "")</f>
        <v>0</v>
      </c>
      <c r="AJ20" s="245" t="str">
        <f>IFERROR(INDEX(Devices[Part], Devices[[#This Row],[Sel SE]], 1), "")</f>
        <v>AMC1211-Q1</v>
      </c>
      <c r="AK20" s="245">
        <f>IFERROR(INDEX(Devices[Part], Devices[[#This Row],[Sel N]], 1), "")</f>
        <v>0</v>
      </c>
      <c r="AM20" s="246"/>
      <c r="AN20" s="136" t="s">
        <v>52</v>
      </c>
    </row>
    <row r="21" spans="1:40" ht="15" customHeight="1">
      <c r="A21" s="281" t="s">
        <v>484</v>
      </c>
      <c r="B21" s="241" t="s">
        <v>51</v>
      </c>
      <c r="C21" s="352" t="s">
        <v>455</v>
      </c>
      <c r="D21" s="249">
        <v>4.0000000000000002E-4</v>
      </c>
      <c r="E21" s="249">
        <v>2E-3</v>
      </c>
      <c r="F21" s="250">
        <v>5</v>
      </c>
      <c r="G21" s="250">
        <v>45</v>
      </c>
      <c r="H21" s="398">
        <v>4.0000000000000001E-3</v>
      </c>
      <c r="I21" s="398">
        <v>0.05</v>
      </c>
      <c r="J21" s="252">
        <v>0.15</v>
      </c>
      <c r="K21" s="252">
        <v>1</v>
      </c>
      <c r="L21" s="249">
        <v>1.3300000000000001E-4</v>
      </c>
      <c r="M21" s="249">
        <v>4.0000000000000002E-4</v>
      </c>
      <c r="N21" s="250">
        <v>1</v>
      </c>
      <c r="O21" s="250">
        <v>3</v>
      </c>
      <c r="P21" s="276">
        <v>50</v>
      </c>
      <c r="Q21" s="399">
        <v>5</v>
      </c>
      <c r="R21" s="277">
        <v>-40</v>
      </c>
      <c r="S21" s="277">
        <v>125</v>
      </c>
      <c r="T21" s="256"/>
      <c r="U21" s="256">
        <v>6300</v>
      </c>
      <c r="V21" s="278">
        <v>6300</v>
      </c>
      <c r="W21" s="435">
        <v>100</v>
      </c>
      <c r="X21" s="310">
        <v>0</v>
      </c>
      <c r="Y21" s="245">
        <f t="shared" si="1"/>
        <v>15</v>
      </c>
      <c r="Z21" s="245">
        <f>IF(OR($AN$18=Devices[[#This Row],[Input Type]], 0=Devices[[#This Row],[Input Type]]),Devices[[#This Row],[Row Num]], " ")</f>
        <v>15</v>
      </c>
      <c r="AA21" s="245" t="str">
        <f>IF(OR($AN$19=Devices[[#This Row],[Input Type]], 0=Devices[[#This Row],[Input Type]]),Devices[[#This Row],[Row Num]], " ")</f>
        <v xml:space="preserve"> </v>
      </c>
      <c r="AB21" s="245" t="str">
        <f>IF(OR($AN$20=Devices[[#This Row],[Input Type]], 0=Devices[[#This Row],[Input Type]]),Devices[[#This Row],[Row Num]], " ")</f>
        <v xml:space="preserve"> </v>
      </c>
      <c r="AC21" s="245" t="str">
        <f>IF(0=Devices[[#This Row],[Input Type]], Devices[[#This Row],[Row Num]], " ")</f>
        <v xml:space="preserve"> </v>
      </c>
      <c r="AD21" s="245">
        <f>IFERROR(SMALL(Devices[Row Sel D], Devices[[#This Row],[Row Num]]), " ")</f>
        <v>15</v>
      </c>
      <c r="AE21" s="245">
        <f>IFERROR(SMALL(Devices[Row Sel IntRdiv], Devices[[#This Row],[Row Num]]), " ")</f>
        <v>99</v>
      </c>
      <c r="AF21" s="245">
        <f>IFERROR(SMALL(Devices[Row Sel SE], Devices[[#This Row],[Row Num]]), " ")</f>
        <v>68</v>
      </c>
      <c r="AG21" s="245">
        <f>IFERROR(SMALL(Devices[Row Sel N], Devices[[#This Row],[Row Num]]), " ")</f>
        <v>103</v>
      </c>
      <c r="AH21" s="245" t="str">
        <f>IFERROR(INDEX(Devices[Part], Devices[[#This Row],[Sel D]], 1), "")</f>
        <v>AMC0202R-Q1 (Vref = 5V)</v>
      </c>
      <c r="AI21" s="245">
        <f>IFERROR(INDEX(Devices[Part], Devices[[#This Row],[Sel IntRdiv]], 1), "")</f>
        <v>0</v>
      </c>
      <c r="AJ21" s="245" t="str">
        <f>IFERROR(INDEX(Devices[Part], Devices[[#This Row],[Sel SE]], 1), "")</f>
        <v>AMC1311</v>
      </c>
      <c r="AK21" s="245">
        <f>IFERROR(INDEX(Devices[Part], Devices[[#This Row],[Sel N]], 1), "")</f>
        <v>0</v>
      </c>
      <c r="AM21" s="246"/>
    </row>
    <row r="22" spans="1:40" ht="15" customHeight="1">
      <c r="A22" s="281" t="s">
        <v>485</v>
      </c>
      <c r="B22" s="241" t="s">
        <v>52</v>
      </c>
      <c r="C22" s="352" t="s">
        <v>51</v>
      </c>
      <c r="D22" s="249">
        <v>4.0000000000000002E-4</v>
      </c>
      <c r="E22" s="249">
        <v>2.5000000000000001E-3</v>
      </c>
      <c r="F22" s="250">
        <v>5</v>
      </c>
      <c r="G22" s="250">
        <v>50</v>
      </c>
      <c r="H22" s="398">
        <v>0.1</v>
      </c>
      <c r="I22" s="398">
        <v>0.8</v>
      </c>
      <c r="J22" s="252">
        <v>1</v>
      </c>
      <c r="K22" s="252">
        <v>10</v>
      </c>
      <c r="L22" s="400">
        <v>2.0000000000000002E-5</v>
      </c>
      <c r="M22" s="400">
        <v>3.5E-4</v>
      </c>
      <c r="N22" s="250">
        <v>1</v>
      </c>
      <c r="O22" s="250">
        <v>3</v>
      </c>
      <c r="P22" s="276">
        <v>2000</v>
      </c>
      <c r="Q22" s="399">
        <v>2</v>
      </c>
      <c r="R22" s="277">
        <v>-40</v>
      </c>
      <c r="S22" s="277">
        <v>125</v>
      </c>
      <c r="T22" s="256"/>
      <c r="U22" s="256">
        <v>2400000000</v>
      </c>
      <c r="V22" s="278">
        <v>2400000000</v>
      </c>
      <c r="W22" s="435">
        <v>1</v>
      </c>
      <c r="X22" s="401">
        <v>3.0000000000000001E-3</v>
      </c>
      <c r="Y22" s="245">
        <f t="shared" si="1"/>
        <v>16</v>
      </c>
      <c r="Z22" s="245" t="str">
        <f>IF(OR($AN$18=Devices[[#This Row],[Input Type]], 0=Devices[[#This Row],[Input Type]]),Devices[[#This Row],[Row Num]], " ")</f>
        <v xml:space="preserve"> </v>
      </c>
      <c r="AA22" s="245" t="str">
        <f>IF(OR($AN$19=Devices[[#This Row],[Input Type]], 0=Devices[[#This Row],[Input Type]]),Devices[[#This Row],[Row Num]], " ")</f>
        <v xml:space="preserve"> </v>
      </c>
      <c r="AB22" s="245">
        <f>IF(OR($AN$20=Devices[[#This Row],[Input Type]], 0=Devices[[#This Row],[Input Type]]),Devices[[#This Row],[Row Num]], " ")</f>
        <v>16</v>
      </c>
      <c r="AC22" s="245" t="str">
        <f>IF(0=Devices[[#This Row],[Input Type]], Devices[[#This Row],[Row Num]], " ")</f>
        <v xml:space="preserve"> </v>
      </c>
      <c r="AD22" s="245">
        <f>IFERROR(SMALL(Devices[Row Sel D], Devices[[#This Row],[Row Num]]), " ")</f>
        <v>22</v>
      </c>
      <c r="AE22" s="245">
        <f>IFERROR(SMALL(Devices[Row Sel IntRdiv], Devices[[#This Row],[Row Num]]), " ")</f>
        <v>100</v>
      </c>
      <c r="AF22" s="245">
        <f>IFERROR(SMALL(Devices[Row Sel SE], Devices[[#This Row],[Row Num]]), " ")</f>
        <v>69</v>
      </c>
      <c r="AG22" s="245">
        <f>IFERROR(SMALL(Devices[Row Sel N], Devices[[#This Row],[Row Num]]), " ")</f>
        <v>104</v>
      </c>
      <c r="AH22" s="245" t="str">
        <f>IFERROR(INDEX(Devices[Part], Devices[[#This Row],[Sel D]], 1), "")</f>
        <v>AMC0230D</v>
      </c>
      <c r="AI22" s="245">
        <f>IFERROR(INDEX(Devices[Part], Devices[[#This Row],[Sel IntRdiv]], 1), "")</f>
        <v>0</v>
      </c>
      <c r="AJ22" s="245" t="str">
        <f>IFERROR(INDEX(Devices[Part], Devices[[#This Row],[Sel SE]], 1), "")</f>
        <v>AMC1311B</v>
      </c>
      <c r="AK22" s="245">
        <f>IFERROR(INDEX(Devices[Part], Devices[[#This Row],[Sel N]], 1), "")</f>
        <v>0</v>
      </c>
      <c r="AM22" s="246"/>
    </row>
    <row r="23" spans="1:40" ht="15" customHeight="1">
      <c r="A23" s="281" t="s">
        <v>486</v>
      </c>
      <c r="B23" s="241" t="s">
        <v>52</v>
      </c>
      <c r="C23" s="352" t="s">
        <v>51</v>
      </c>
      <c r="D23" s="249">
        <v>4.0000000000000002E-4</v>
      </c>
      <c r="E23" s="249">
        <v>2.5000000000000001E-3</v>
      </c>
      <c r="F23" s="250">
        <v>5</v>
      </c>
      <c r="G23" s="250">
        <v>50</v>
      </c>
      <c r="H23" s="398">
        <v>0.1</v>
      </c>
      <c r="I23" s="398">
        <v>0.8</v>
      </c>
      <c r="J23" s="252">
        <v>1</v>
      </c>
      <c r="K23" s="252">
        <v>10</v>
      </c>
      <c r="L23" s="400">
        <v>2.0000000000000002E-5</v>
      </c>
      <c r="M23" s="400">
        <v>3.5E-4</v>
      </c>
      <c r="N23" s="250">
        <v>1</v>
      </c>
      <c r="O23" s="250">
        <v>3</v>
      </c>
      <c r="P23" s="276">
        <v>2000</v>
      </c>
      <c r="Q23" s="399">
        <v>2</v>
      </c>
      <c r="R23" s="277">
        <v>-40</v>
      </c>
      <c r="S23" s="277">
        <v>125</v>
      </c>
      <c r="T23" s="256"/>
      <c r="U23" s="256">
        <v>2400000000</v>
      </c>
      <c r="V23" s="278">
        <v>2400000000</v>
      </c>
      <c r="W23" s="435">
        <v>1</v>
      </c>
      <c r="X23" s="401">
        <v>3.0000000000000001E-3</v>
      </c>
      <c r="Y23" s="245">
        <f t="shared" si="1"/>
        <v>17</v>
      </c>
      <c r="Z23" s="245" t="str">
        <f>IF(OR($AN$18=Devices[[#This Row],[Input Type]], 0=Devices[[#This Row],[Input Type]]),Devices[[#This Row],[Row Num]], " ")</f>
        <v xml:space="preserve"> </v>
      </c>
      <c r="AA23" s="245" t="str">
        <f>IF(OR($AN$19=Devices[[#This Row],[Input Type]], 0=Devices[[#This Row],[Input Type]]),Devices[[#This Row],[Row Num]], " ")</f>
        <v xml:space="preserve"> </v>
      </c>
      <c r="AB23" s="245">
        <f>IF(OR($AN$20=Devices[[#This Row],[Input Type]], 0=Devices[[#This Row],[Input Type]]),Devices[[#This Row],[Row Num]], " ")</f>
        <v>17</v>
      </c>
      <c r="AC23" s="245" t="str">
        <f>IF(0=Devices[[#This Row],[Input Type]], Devices[[#This Row],[Row Num]], " ")</f>
        <v xml:space="preserve"> </v>
      </c>
      <c r="AD23" s="245">
        <f>IFERROR(SMALL(Devices[Row Sel D], Devices[[#This Row],[Row Num]]), " ")</f>
        <v>23</v>
      </c>
      <c r="AE23" s="245">
        <f>IFERROR(SMALL(Devices[Row Sel IntRdiv], Devices[[#This Row],[Row Num]]), " ")</f>
        <v>101</v>
      </c>
      <c r="AF23" s="245">
        <f>IFERROR(SMALL(Devices[Row Sel SE], Devices[[#This Row],[Row Num]]), " ")</f>
        <v>70</v>
      </c>
      <c r="AG23" s="245">
        <f>IFERROR(SMALL(Devices[Row Sel N], Devices[[#This Row],[Row Num]]), " ")</f>
        <v>105</v>
      </c>
      <c r="AH23" s="245" t="str">
        <f>IFERROR(INDEX(Devices[Part], Devices[[#This Row],[Sel D]], 1), "")</f>
        <v>AMC0230D-Q1</v>
      </c>
      <c r="AI23" s="245">
        <f>IFERROR(INDEX(Devices[Part], Devices[[#This Row],[Sel IntRdiv]], 1), "")</f>
        <v>0</v>
      </c>
      <c r="AJ23" s="245" t="str">
        <f>IFERROR(INDEX(Devices[Part], Devices[[#This Row],[Sel SE]], 1), "")</f>
        <v>AMC1311-Q1</v>
      </c>
      <c r="AK23" s="245">
        <f>IFERROR(INDEX(Devices[Part], Devices[[#This Row],[Sel N]], 1), "")</f>
        <v>0</v>
      </c>
      <c r="AM23" s="246"/>
    </row>
    <row r="24" spans="1:40" ht="15" customHeight="1">
      <c r="A24" s="281" t="s">
        <v>487</v>
      </c>
      <c r="B24" s="241" t="s">
        <v>52</v>
      </c>
      <c r="C24" s="352" t="s">
        <v>455</v>
      </c>
      <c r="D24" s="249">
        <v>4.0000000000000002E-4</v>
      </c>
      <c r="E24" s="249">
        <v>2.5000000000000001E-3</v>
      </c>
      <c r="F24" s="250">
        <v>5</v>
      </c>
      <c r="G24" s="250">
        <v>40</v>
      </c>
      <c r="H24" s="398">
        <v>0.15</v>
      </c>
      <c r="I24" s="398">
        <v>1.5</v>
      </c>
      <c r="J24" s="252">
        <v>3</v>
      </c>
      <c r="K24" s="252">
        <v>30</v>
      </c>
      <c r="L24" s="400">
        <v>2.0000000000000002E-5</v>
      </c>
      <c r="M24" s="272">
        <v>8.0000000000000004E-4</v>
      </c>
      <c r="N24" s="250">
        <v>1</v>
      </c>
      <c r="O24" s="250">
        <v>3</v>
      </c>
      <c r="P24" s="276">
        <v>2250</v>
      </c>
      <c r="Q24" s="399">
        <v>3.3</v>
      </c>
      <c r="R24" s="277">
        <v>-40</v>
      </c>
      <c r="S24" s="277">
        <v>125</v>
      </c>
      <c r="T24" s="256"/>
      <c r="U24" s="256">
        <v>2400000000</v>
      </c>
      <c r="V24" s="278">
        <v>2400000000</v>
      </c>
      <c r="W24" s="435">
        <f>3.3/2.56</f>
        <v>1.2890625</v>
      </c>
      <c r="X24" s="401">
        <v>3.0000000000000001E-3</v>
      </c>
      <c r="Y24" s="245">
        <f t="shared" ref="Y24:Y31" si="2">ROW()-6</f>
        <v>18</v>
      </c>
      <c r="Z24" s="245" t="str">
        <f>IF(OR($AN$18=Devices[[#This Row],[Input Type]], 0=Devices[[#This Row],[Input Type]]),Devices[[#This Row],[Row Num]], " ")</f>
        <v xml:space="preserve"> </v>
      </c>
      <c r="AA24" s="245" t="str">
        <f>IF(OR($AN$19=Devices[[#This Row],[Input Type]], 0=Devices[[#This Row],[Input Type]]),Devices[[#This Row],[Row Num]], " ")</f>
        <v xml:space="preserve"> </v>
      </c>
      <c r="AB24" s="245">
        <f>IF(OR($AN$20=Devices[[#This Row],[Input Type]], 0=Devices[[#This Row],[Input Type]]),Devices[[#This Row],[Row Num]], " ")</f>
        <v>18</v>
      </c>
      <c r="AC24" s="245" t="str">
        <f>IF(0=Devices[[#This Row],[Input Type]], Devices[[#This Row],[Row Num]], " ")</f>
        <v xml:space="preserve"> </v>
      </c>
      <c r="AD24" s="245">
        <f>IFERROR(SMALL(Devices[Row Sel D], Devices[[#This Row],[Row Num]]), " ")</f>
        <v>24</v>
      </c>
      <c r="AE24" s="245">
        <f>IFERROR(SMALL(Devices[Row Sel IntRdiv], Devices[[#This Row],[Row Num]]), " ")</f>
        <v>102</v>
      </c>
      <c r="AF24" s="245">
        <f>IFERROR(SMALL(Devices[Row Sel SE], Devices[[#This Row],[Row Num]]), " ")</f>
        <v>71</v>
      </c>
      <c r="AG24" s="245">
        <f>IFERROR(SMALL(Devices[Row Sel N], Devices[[#This Row],[Row Num]]), " ")</f>
        <v>106</v>
      </c>
      <c r="AH24" s="245" t="str">
        <f>IFERROR(INDEX(Devices[Part], Devices[[#This Row],[Sel D]], 1), "")</f>
        <v>AMC0230R (Vref = 3.3V)</v>
      </c>
      <c r="AI24" s="245">
        <f>IFERROR(INDEX(Devices[Part], Devices[[#This Row],[Sel IntRdiv]], 1), "")</f>
        <v>0</v>
      </c>
      <c r="AJ24" s="245" t="str">
        <f>IFERROR(INDEX(Devices[Part], Devices[[#This Row],[Sel SE]], 1), "")</f>
        <v>AMC1311B-Q1</v>
      </c>
      <c r="AK24" s="245">
        <f>IFERROR(INDEX(Devices[Part], Devices[[#This Row],[Sel N]], 1), "")</f>
        <v>0</v>
      </c>
      <c r="AM24" s="246"/>
    </row>
    <row r="25" spans="1:40" ht="15" customHeight="1">
      <c r="A25" s="281" t="s">
        <v>488</v>
      </c>
      <c r="B25" s="241" t="s">
        <v>52</v>
      </c>
      <c r="C25" s="352" t="s">
        <v>455</v>
      </c>
      <c r="D25" s="249">
        <v>4.0000000000000002E-4</v>
      </c>
      <c r="E25" s="249">
        <v>2.5000000000000001E-3</v>
      </c>
      <c r="F25" s="250">
        <v>5</v>
      </c>
      <c r="G25" s="250">
        <v>40</v>
      </c>
      <c r="H25" s="398">
        <v>0.15</v>
      </c>
      <c r="I25" s="398">
        <v>1.5</v>
      </c>
      <c r="J25" s="252">
        <v>3</v>
      </c>
      <c r="K25" s="252">
        <v>30</v>
      </c>
      <c r="L25" s="400">
        <v>2.0000000000000002E-5</v>
      </c>
      <c r="M25" s="272">
        <v>8.0000000000000004E-4</v>
      </c>
      <c r="N25" s="250">
        <v>1</v>
      </c>
      <c r="O25" s="250">
        <v>3</v>
      </c>
      <c r="P25" s="276">
        <v>2250</v>
      </c>
      <c r="Q25" s="399">
        <v>5</v>
      </c>
      <c r="R25" s="277">
        <v>-40</v>
      </c>
      <c r="S25" s="277">
        <v>125</v>
      </c>
      <c r="T25" s="256"/>
      <c r="U25" s="256">
        <v>2400000000</v>
      </c>
      <c r="V25" s="278">
        <v>2400000000</v>
      </c>
      <c r="W25" s="435">
        <v>2.5</v>
      </c>
      <c r="X25" s="401">
        <v>3.0000000000000001E-3</v>
      </c>
      <c r="Y25" s="245">
        <f t="shared" si="2"/>
        <v>19</v>
      </c>
      <c r="Z25" s="245" t="str">
        <f>IF(OR($AN$18=Devices[[#This Row],[Input Type]], 0=Devices[[#This Row],[Input Type]]),Devices[[#This Row],[Row Num]], " ")</f>
        <v xml:space="preserve"> </v>
      </c>
      <c r="AA25" s="245" t="str">
        <f>IF(OR($AN$19=Devices[[#This Row],[Input Type]], 0=Devices[[#This Row],[Input Type]]),Devices[[#This Row],[Row Num]], " ")</f>
        <v xml:space="preserve"> </v>
      </c>
      <c r="AB25" s="245">
        <f>IF(OR($AN$20=Devices[[#This Row],[Input Type]], 0=Devices[[#This Row],[Input Type]]),Devices[[#This Row],[Row Num]], " ")</f>
        <v>19</v>
      </c>
      <c r="AC25" s="245" t="str">
        <f>IF(0=Devices[[#This Row],[Input Type]], Devices[[#This Row],[Row Num]], " ")</f>
        <v xml:space="preserve"> </v>
      </c>
      <c r="AD25" s="245">
        <f>IFERROR(SMALL(Devices[Row Sel D], Devices[[#This Row],[Row Num]]), " ")</f>
        <v>25</v>
      </c>
      <c r="AE25" s="245">
        <f>IFERROR(SMALL(Devices[Row Sel IntRdiv], Devices[[#This Row],[Row Num]]), " ")</f>
        <v>103</v>
      </c>
      <c r="AF25" s="245">
        <f>IFERROR(SMALL(Devices[Row Sel SE], Devices[[#This Row],[Row Num]]), " ")</f>
        <v>73</v>
      </c>
      <c r="AG25" s="245">
        <f>IFERROR(SMALL(Devices[Row Sel N], Devices[[#This Row],[Row Num]]), " ")</f>
        <v>107</v>
      </c>
      <c r="AH25" s="245" t="str">
        <f>IFERROR(INDEX(Devices[Part], Devices[[#This Row],[Sel D]], 1), "")</f>
        <v>AMC0230R (Vref = 5V)</v>
      </c>
      <c r="AI25" s="245">
        <f>IFERROR(INDEX(Devices[Part], Devices[[#This Row],[Sel IntRdiv]], 1), "")</f>
        <v>0</v>
      </c>
      <c r="AJ25" s="245" t="str">
        <f>IFERROR(INDEX(Devices[Part], Devices[[#This Row],[Sel SE]], 1), "")</f>
        <v>AMC1351</v>
      </c>
      <c r="AK25" s="245">
        <f>IFERROR(INDEX(Devices[Part], Devices[[#This Row],[Sel N]], 1), "")</f>
        <v>0</v>
      </c>
      <c r="AM25" s="246"/>
    </row>
    <row r="26" spans="1:40" ht="15" customHeight="1">
      <c r="A26" s="281" t="s">
        <v>489</v>
      </c>
      <c r="B26" s="241" t="s">
        <v>52</v>
      </c>
      <c r="C26" s="352" t="s">
        <v>52</v>
      </c>
      <c r="D26" s="249">
        <v>4.0000000000000002E-4</v>
      </c>
      <c r="E26" s="249">
        <v>2.5000000000000001E-3</v>
      </c>
      <c r="F26" s="250">
        <v>5</v>
      </c>
      <c r="G26" s="250">
        <v>50</v>
      </c>
      <c r="H26" s="398">
        <v>0.15</v>
      </c>
      <c r="I26" s="398">
        <v>1</v>
      </c>
      <c r="J26" s="252">
        <v>3</v>
      </c>
      <c r="K26" s="252">
        <v>30</v>
      </c>
      <c r="L26" s="400">
        <v>2.0000000000000002E-5</v>
      </c>
      <c r="M26" s="249">
        <v>8.0000000000000004E-4</v>
      </c>
      <c r="N26" s="250">
        <v>1</v>
      </c>
      <c r="O26" s="250">
        <v>3</v>
      </c>
      <c r="P26" s="276">
        <v>2250</v>
      </c>
      <c r="Q26" s="399">
        <v>2.25</v>
      </c>
      <c r="R26" s="277">
        <v>-40</v>
      </c>
      <c r="S26" s="277">
        <v>125</v>
      </c>
      <c r="T26" s="256"/>
      <c r="U26" s="256">
        <v>2400000000</v>
      </c>
      <c r="V26" s="256">
        <v>2400000000</v>
      </c>
      <c r="W26" s="435">
        <v>1</v>
      </c>
      <c r="X26" s="401">
        <v>3.0000000000000001E-3</v>
      </c>
      <c r="Y26" s="245">
        <f t="shared" si="2"/>
        <v>20</v>
      </c>
      <c r="Z26" s="245" t="str">
        <f>IF(OR($AN$18=Devices[[#This Row],[Input Type]], 0=Devices[[#This Row],[Input Type]]),Devices[[#This Row],[Row Num]], " ")</f>
        <v xml:space="preserve"> </v>
      </c>
      <c r="AA26" s="245" t="str">
        <f>IF(OR($AN$19=Devices[[#This Row],[Input Type]], 0=Devices[[#This Row],[Input Type]]),Devices[[#This Row],[Row Num]], " ")</f>
        <v xml:space="preserve"> </v>
      </c>
      <c r="AB26" s="245">
        <f>IF(OR($AN$20=Devices[[#This Row],[Input Type]], 0=Devices[[#This Row],[Input Type]]),Devices[[#This Row],[Row Num]], " ")</f>
        <v>20</v>
      </c>
      <c r="AC26" s="245" t="str">
        <f>IF(0=Devices[[#This Row],[Input Type]], Devices[[#This Row],[Row Num]], " ")</f>
        <v xml:space="preserve"> </v>
      </c>
      <c r="AD26" s="245">
        <f>IFERROR(SMALL(Devices[Row Sel D], Devices[[#This Row],[Row Num]]), " ")</f>
        <v>26</v>
      </c>
      <c r="AE26" s="245">
        <f>IFERROR(SMALL(Devices[Row Sel IntRdiv], Devices[[#This Row],[Row Num]]), " ")</f>
        <v>104</v>
      </c>
      <c r="AF26" s="245">
        <f>IFERROR(SMALL(Devices[Row Sel SE], Devices[[#This Row],[Row Num]]), " ")</f>
        <v>75</v>
      </c>
      <c r="AG26" s="245">
        <f>IFERROR(SMALL(Devices[Row Sel N], Devices[[#This Row],[Row Num]]), " ")</f>
        <v>108</v>
      </c>
      <c r="AH26" s="245" t="str">
        <f>IFERROR(INDEX(Devices[Part], Devices[[#This Row],[Sel D]], 1), "")</f>
        <v>AMC0230R-Q1 (Vref = 3.3V)</v>
      </c>
      <c r="AI26" s="245">
        <f>IFERROR(INDEX(Devices[Part], Devices[[#This Row],[Sel IntRdiv]], 1), "")</f>
        <v>0</v>
      </c>
      <c r="AJ26" s="245" t="str">
        <f>IFERROR(INDEX(Devices[Part], Devices[[#This Row],[Sel SE]], 1), "")</f>
        <v>AMC1411</v>
      </c>
      <c r="AK26" s="245">
        <f>IFERROR(INDEX(Devices[Part], Devices[[#This Row],[Sel N]], 1), "")</f>
        <v>0</v>
      </c>
      <c r="AM26" s="246"/>
    </row>
    <row r="27" spans="1:40" ht="15" customHeight="1">
      <c r="A27" s="281" t="s">
        <v>490</v>
      </c>
      <c r="B27" s="241" t="s">
        <v>52</v>
      </c>
      <c r="C27" s="352" t="s">
        <v>52</v>
      </c>
      <c r="D27" s="249">
        <v>4.0000000000000002E-4</v>
      </c>
      <c r="E27" s="249">
        <v>2.5000000000000001E-3</v>
      </c>
      <c r="F27" s="250">
        <v>5</v>
      </c>
      <c r="G27" s="250">
        <v>50</v>
      </c>
      <c r="H27" s="398">
        <v>0.15</v>
      </c>
      <c r="I27" s="398">
        <v>1</v>
      </c>
      <c r="J27" s="252">
        <v>3</v>
      </c>
      <c r="K27" s="252">
        <v>30</v>
      </c>
      <c r="L27" s="400">
        <v>2.0000000000000002E-5</v>
      </c>
      <c r="M27" s="249">
        <v>8.0000000000000004E-4</v>
      </c>
      <c r="N27" s="250">
        <v>1</v>
      </c>
      <c r="O27" s="250">
        <v>3</v>
      </c>
      <c r="P27" s="276">
        <v>2250</v>
      </c>
      <c r="Q27" s="399">
        <v>2.25</v>
      </c>
      <c r="R27" s="277">
        <v>-40</v>
      </c>
      <c r="S27" s="277">
        <v>125</v>
      </c>
      <c r="T27" s="256"/>
      <c r="U27" s="256">
        <v>2400000000</v>
      </c>
      <c r="V27" s="256">
        <v>2400000000</v>
      </c>
      <c r="W27" s="435">
        <v>1</v>
      </c>
      <c r="X27" s="401">
        <v>3.0000000000000001E-3</v>
      </c>
      <c r="Y27" s="245">
        <f t="shared" si="2"/>
        <v>21</v>
      </c>
      <c r="Z27" s="245" t="str">
        <f>IF(OR($AN$18=Devices[[#This Row],[Input Type]], 0=Devices[[#This Row],[Input Type]]),Devices[[#This Row],[Row Num]], " ")</f>
        <v xml:space="preserve"> </v>
      </c>
      <c r="AA27" s="245" t="str">
        <f>IF(OR($AN$19=Devices[[#This Row],[Input Type]], 0=Devices[[#This Row],[Input Type]]),Devices[[#This Row],[Row Num]], " ")</f>
        <v xml:space="preserve"> </v>
      </c>
      <c r="AB27" s="245">
        <f>IF(OR($AN$20=Devices[[#This Row],[Input Type]], 0=Devices[[#This Row],[Input Type]]),Devices[[#This Row],[Row Num]], " ")</f>
        <v>21</v>
      </c>
      <c r="AC27" s="245" t="str">
        <f>IF(0=Devices[[#This Row],[Input Type]], Devices[[#This Row],[Row Num]], " ")</f>
        <v xml:space="preserve"> </v>
      </c>
      <c r="AD27" s="245">
        <f>IFERROR(SMALL(Devices[Row Sel D], Devices[[#This Row],[Row Num]]), " ")</f>
        <v>27</v>
      </c>
      <c r="AE27" s="245">
        <f>IFERROR(SMALL(Devices[Row Sel IntRdiv], Devices[[#This Row],[Row Num]]), " ")</f>
        <v>105</v>
      </c>
      <c r="AF27" s="245">
        <f>IFERROR(SMALL(Devices[Row Sel SE], Devices[[#This Row],[Row Num]]), " ")</f>
        <v>80</v>
      </c>
      <c r="AG27" s="245">
        <f>IFERROR(SMALL(Devices[Row Sel N], Devices[[#This Row],[Row Num]]), " ")</f>
        <v>109</v>
      </c>
      <c r="AH27" s="245" t="str">
        <f>IFERROR(INDEX(Devices[Part], Devices[[#This Row],[Sel D]], 1), "")</f>
        <v>AMC0230R-Q1 (Vref = 5V)</v>
      </c>
      <c r="AI27" s="245">
        <f>IFERROR(INDEX(Devices[Part], Devices[[#This Row],[Sel IntRdiv]], 1), "")</f>
        <v>0</v>
      </c>
      <c r="AJ27" s="245" t="str">
        <f>IFERROR(INDEX(Devices[Part], Devices[[#This Row],[Sel SE]], 1), "")</f>
        <v>AMC3311</v>
      </c>
      <c r="AK27" s="245">
        <f>IFERROR(INDEX(Devices[Part], Devices[[#This Row],[Sel N]], 1), "")</f>
        <v>0</v>
      </c>
      <c r="AM27" s="246"/>
    </row>
    <row r="28" spans="1:40" ht="15" customHeight="1">
      <c r="A28" s="281" t="s">
        <v>491</v>
      </c>
      <c r="B28" s="241" t="s">
        <v>51</v>
      </c>
      <c r="C28" s="352" t="s">
        <v>51</v>
      </c>
      <c r="D28" s="249">
        <v>4.0000000000000002E-4</v>
      </c>
      <c r="E28" s="249">
        <v>2.5000000000000001E-3</v>
      </c>
      <c r="F28" s="250">
        <v>5</v>
      </c>
      <c r="G28" s="250">
        <v>40</v>
      </c>
      <c r="H28" s="398">
        <v>0.1</v>
      </c>
      <c r="I28" s="398">
        <v>0.8</v>
      </c>
      <c r="J28" s="252">
        <v>1</v>
      </c>
      <c r="K28" s="252">
        <v>10</v>
      </c>
      <c r="L28" s="249">
        <v>1E-4</v>
      </c>
      <c r="M28" s="249">
        <v>2.5000000000000001E-4</v>
      </c>
      <c r="N28" s="250">
        <v>1</v>
      </c>
      <c r="O28" s="250">
        <v>3</v>
      </c>
      <c r="P28" s="276">
        <v>1000</v>
      </c>
      <c r="Q28" s="399">
        <v>2</v>
      </c>
      <c r="R28" s="277">
        <v>-40</v>
      </c>
      <c r="S28" s="277">
        <v>125</v>
      </c>
      <c r="T28" s="256"/>
      <c r="U28" s="256">
        <v>2400000000</v>
      </c>
      <c r="V28" s="256">
        <v>2400000000</v>
      </c>
      <c r="W28" s="435">
        <v>2</v>
      </c>
      <c r="X28" s="310">
        <v>0.01</v>
      </c>
      <c r="Y28" s="245">
        <f t="shared" si="2"/>
        <v>22</v>
      </c>
      <c r="Z28" s="245">
        <f>IF(OR($AN$18=Devices[[#This Row],[Input Type]], 0=Devices[[#This Row],[Input Type]]),Devices[[#This Row],[Row Num]], " ")</f>
        <v>22</v>
      </c>
      <c r="AA28" s="245" t="str">
        <f>IF(OR($AN$19=Devices[[#This Row],[Input Type]], 0=Devices[[#This Row],[Input Type]]),Devices[[#This Row],[Row Num]], " ")</f>
        <v xml:space="preserve"> </v>
      </c>
      <c r="AB28" s="245" t="str">
        <f>IF(OR($AN$20=Devices[[#This Row],[Input Type]], 0=Devices[[#This Row],[Input Type]]),Devices[[#This Row],[Row Num]], " ")</f>
        <v xml:space="preserve"> </v>
      </c>
      <c r="AC28" s="245" t="str">
        <f>IF(0=Devices[[#This Row],[Input Type]], Devices[[#This Row],[Row Num]], " ")</f>
        <v xml:space="preserve"> </v>
      </c>
      <c r="AD28" s="245">
        <f>IFERROR(SMALL(Devices[Row Sel D], Devices[[#This Row],[Row Num]]), " ")</f>
        <v>28</v>
      </c>
      <c r="AE28" s="245">
        <f>IFERROR(SMALL(Devices[Row Sel IntRdiv], Devices[[#This Row],[Row Num]]), " ")</f>
        <v>106</v>
      </c>
      <c r="AF28" s="245">
        <f>IFERROR(SMALL(Devices[Row Sel SE], Devices[[#This Row],[Row Num]]), " ")</f>
        <v>81</v>
      </c>
      <c r="AG28" s="245">
        <f>IFERROR(SMALL(Devices[Row Sel N], Devices[[#This Row],[Row Num]]), " ")</f>
        <v>110</v>
      </c>
      <c r="AH28" s="245" t="str">
        <f>IFERROR(INDEX(Devices[Part], Devices[[#This Row],[Sel D]], 1), "")</f>
        <v>AMC0230S</v>
      </c>
      <c r="AI28" s="245">
        <f>IFERROR(INDEX(Devices[Part], Devices[[#This Row],[Sel IntRdiv]], 1), "")</f>
        <v>0</v>
      </c>
      <c r="AJ28" s="245" t="str">
        <f>IFERROR(INDEX(Devices[Part], Devices[[#This Row],[Sel SE]], 1), "")</f>
        <v>AMC3311-Q1</v>
      </c>
      <c r="AK28" s="245">
        <f>IFERROR(INDEX(Devices[Part], Devices[[#This Row],[Sel N]], 1), "")</f>
        <v>0</v>
      </c>
      <c r="AM28" s="246"/>
    </row>
    <row r="29" spans="1:40" ht="15" customHeight="1">
      <c r="A29" s="281" t="s">
        <v>492</v>
      </c>
      <c r="B29" s="241" t="s">
        <v>51</v>
      </c>
      <c r="C29" s="352" t="s">
        <v>51</v>
      </c>
      <c r="D29" s="249">
        <v>4.0000000000000002E-4</v>
      </c>
      <c r="E29" s="249">
        <v>2.5000000000000001E-3</v>
      </c>
      <c r="F29" s="250">
        <v>5</v>
      </c>
      <c r="G29" s="250">
        <v>40</v>
      </c>
      <c r="H29" s="398">
        <v>0.1</v>
      </c>
      <c r="I29" s="398">
        <v>0.8</v>
      </c>
      <c r="J29" s="252">
        <v>1</v>
      </c>
      <c r="K29" s="252">
        <v>10</v>
      </c>
      <c r="L29" s="249">
        <v>1E-4</v>
      </c>
      <c r="M29" s="249">
        <v>2.5000000000000001E-4</v>
      </c>
      <c r="N29" s="250">
        <v>1</v>
      </c>
      <c r="O29" s="250">
        <v>3</v>
      </c>
      <c r="P29" s="276">
        <v>1000</v>
      </c>
      <c r="Q29" s="399">
        <v>2</v>
      </c>
      <c r="R29" s="277">
        <v>-40</v>
      </c>
      <c r="S29" s="277">
        <v>125</v>
      </c>
      <c r="T29" s="256"/>
      <c r="U29" s="256">
        <v>2400000000</v>
      </c>
      <c r="V29" s="256">
        <v>2400000000</v>
      </c>
      <c r="W29" s="435">
        <v>2</v>
      </c>
      <c r="X29" s="310">
        <v>0.01</v>
      </c>
      <c r="Y29" s="245">
        <f t="shared" si="2"/>
        <v>23</v>
      </c>
      <c r="Z29" s="245">
        <f>IF(OR($AN$18=Devices[[#This Row],[Input Type]], 0=Devices[[#This Row],[Input Type]]),Devices[[#This Row],[Row Num]], " ")</f>
        <v>23</v>
      </c>
      <c r="AA29" s="245" t="str">
        <f>IF(OR($AN$19=Devices[[#This Row],[Input Type]], 0=Devices[[#This Row],[Input Type]]),Devices[[#This Row],[Row Num]], " ")</f>
        <v xml:space="preserve"> </v>
      </c>
      <c r="AB29" s="245" t="str">
        <f>IF(OR($AN$20=Devices[[#This Row],[Input Type]], 0=Devices[[#This Row],[Input Type]]),Devices[[#This Row],[Row Num]], " ")</f>
        <v xml:space="preserve"> </v>
      </c>
      <c r="AC29" s="245" t="str">
        <f>IF(0=Devices[[#This Row],[Input Type]], Devices[[#This Row],[Row Num]], " ")</f>
        <v xml:space="preserve"> </v>
      </c>
      <c r="AD29" s="245">
        <f>IFERROR(SMALL(Devices[Row Sel D], Devices[[#This Row],[Row Num]]), " ")</f>
        <v>29</v>
      </c>
      <c r="AE29" s="245">
        <f>IFERROR(SMALL(Devices[Row Sel IntRdiv], Devices[[#This Row],[Row Num]]), " ")</f>
        <v>107</v>
      </c>
      <c r="AF29" s="245">
        <f>IFERROR(SMALL(Devices[Row Sel SE], Devices[[#This Row],[Row Num]]), " ")</f>
        <v>84</v>
      </c>
      <c r="AG29" s="245">
        <f>IFERROR(SMALL(Devices[Row Sel N], Devices[[#This Row],[Row Num]]), " ")</f>
        <v>111</v>
      </c>
      <c r="AH29" s="245" t="str">
        <f>IFERROR(INDEX(Devices[Part], Devices[[#This Row],[Sel D]], 1), "")</f>
        <v>AMC0230S-Q1</v>
      </c>
      <c r="AI29" s="245">
        <f>IFERROR(INDEX(Devices[Part], Devices[[#This Row],[Sel IntRdiv]], 1), "")</f>
        <v>0</v>
      </c>
      <c r="AJ29" s="245" t="str">
        <f>IFERROR(INDEX(Devices[Part], Devices[[#This Row],[Sel SE]], 1), "")</f>
        <v>ISO224A</v>
      </c>
      <c r="AK29" s="245">
        <f>IFERROR(INDEX(Devices[Part], Devices[[#This Row],[Sel N]], 1), "")</f>
        <v>0</v>
      </c>
      <c r="AM29" s="246"/>
    </row>
    <row r="30" spans="1:40" ht="15" customHeight="1">
      <c r="A30" s="281" t="s">
        <v>493</v>
      </c>
      <c r="B30" s="241" t="s">
        <v>51</v>
      </c>
      <c r="C30" s="352" t="s">
        <v>455</v>
      </c>
      <c r="D30" s="249">
        <v>4.0000000000000002E-4</v>
      </c>
      <c r="E30" s="249">
        <v>2.5000000000000001E-3</v>
      </c>
      <c r="F30" s="250">
        <v>5</v>
      </c>
      <c r="G30" s="250">
        <v>40</v>
      </c>
      <c r="H30" s="398">
        <v>0.01</v>
      </c>
      <c r="I30" s="398">
        <v>1.5</v>
      </c>
      <c r="J30" s="252">
        <v>2</v>
      </c>
      <c r="K30" s="252">
        <v>20</v>
      </c>
      <c r="L30" s="249">
        <v>1.2999999999999999E-4</v>
      </c>
      <c r="M30" s="249">
        <v>2.5000000000000001E-4</v>
      </c>
      <c r="N30" s="250">
        <v>1</v>
      </c>
      <c r="O30" s="250">
        <v>3</v>
      </c>
      <c r="P30" s="276">
        <v>1000</v>
      </c>
      <c r="Q30" s="399">
        <v>3.3</v>
      </c>
      <c r="R30" s="277">
        <v>-40</v>
      </c>
      <c r="S30" s="277">
        <v>125</v>
      </c>
      <c r="T30" s="256"/>
      <c r="U30" s="256">
        <v>2400000000</v>
      </c>
      <c r="V30" s="256">
        <v>2400000000</v>
      </c>
      <c r="W30" s="435">
        <v>3.3</v>
      </c>
      <c r="X30" s="310">
        <v>0.01</v>
      </c>
      <c r="Y30" s="245">
        <f t="shared" si="2"/>
        <v>24</v>
      </c>
      <c r="Z30" s="245">
        <f>IF(OR($AN$18=Devices[[#This Row],[Input Type]], 0=Devices[[#This Row],[Input Type]]),Devices[[#This Row],[Row Num]], " ")</f>
        <v>24</v>
      </c>
      <c r="AA30" s="245" t="str">
        <f>IF(OR($AN$19=Devices[[#This Row],[Input Type]], 0=Devices[[#This Row],[Input Type]]),Devices[[#This Row],[Row Num]], " ")</f>
        <v xml:space="preserve"> </v>
      </c>
      <c r="AB30" s="245" t="str">
        <f>IF(OR($AN$20=Devices[[#This Row],[Input Type]], 0=Devices[[#This Row],[Input Type]]),Devices[[#This Row],[Row Num]], " ")</f>
        <v xml:space="preserve"> </v>
      </c>
      <c r="AC30" s="245" t="str">
        <f>IF(0=Devices[[#This Row],[Input Type]], Devices[[#This Row],[Row Num]], " ")</f>
        <v xml:space="preserve"> </v>
      </c>
      <c r="AD30" s="245">
        <f>IFERROR(SMALL(Devices[Row Sel D], Devices[[#This Row],[Row Num]]), " ")</f>
        <v>30</v>
      </c>
      <c r="AE30" s="245">
        <f>IFERROR(SMALL(Devices[Row Sel IntRdiv], Devices[[#This Row],[Row Num]]), " ")</f>
        <v>108</v>
      </c>
      <c r="AF30" s="245">
        <f>IFERROR(SMALL(Devices[Row Sel SE], Devices[[#This Row],[Row Num]]), " ")</f>
        <v>85</v>
      </c>
      <c r="AG30" s="245">
        <f>IFERROR(SMALL(Devices[Row Sel N], Devices[[#This Row],[Row Num]]), " ")</f>
        <v>112</v>
      </c>
      <c r="AH30" s="245" t="str">
        <f>IFERROR(INDEX(Devices[Part], Devices[[#This Row],[Sel D]], 1), "")</f>
        <v>AMC0300D</v>
      </c>
      <c r="AI30" s="245">
        <f>IFERROR(INDEX(Devices[Part], Devices[[#This Row],[Sel IntRdiv]], 1), "")</f>
        <v>0</v>
      </c>
      <c r="AJ30" s="245" t="str">
        <f>IFERROR(INDEX(Devices[Part], Devices[[#This Row],[Sel SE]], 1), "")</f>
        <v>ISO224B</v>
      </c>
      <c r="AK30" s="245">
        <f>IFERROR(INDEX(Devices[Part], Devices[[#This Row],[Sel N]], 1), "")</f>
        <v>0</v>
      </c>
      <c r="AM30" s="246"/>
    </row>
    <row r="31" spans="1:40" ht="15" customHeight="1">
      <c r="A31" s="281" t="s">
        <v>494</v>
      </c>
      <c r="B31" s="241" t="s">
        <v>51</v>
      </c>
      <c r="C31" s="352" t="s">
        <v>455</v>
      </c>
      <c r="D31" s="249">
        <v>4.0000000000000002E-4</v>
      </c>
      <c r="E31" s="249">
        <v>2.5000000000000001E-3</v>
      </c>
      <c r="F31" s="250">
        <v>5</v>
      </c>
      <c r="G31" s="250">
        <v>40</v>
      </c>
      <c r="H31" s="398">
        <v>0.01</v>
      </c>
      <c r="I31" s="398">
        <v>1.5</v>
      </c>
      <c r="J31" s="252">
        <v>2</v>
      </c>
      <c r="K31" s="252">
        <v>20</v>
      </c>
      <c r="L31" s="249">
        <v>1.2999999999999999E-4</v>
      </c>
      <c r="M31" s="249">
        <v>2.5000000000000001E-4</v>
      </c>
      <c r="N31" s="250">
        <v>1</v>
      </c>
      <c r="O31" s="250">
        <v>3</v>
      </c>
      <c r="P31" s="276">
        <v>1000</v>
      </c>
      <c r="Q31" s="399">
        <v>5</v>
      </c>
      <c r="R31" s="277">
        <v>-40</v>
      </c>
      <c r="S31" s="277">
        <v>125</v>
      </c>
      <c r="T31" s="256"/>
      <c r="U31" s="256">
        <v>2400000000</v>
      </c>
      <c r="V31" s="256">
        <v>2400000000</v>
      </c>
      <c r="W31" s="435">
        <v>5</v>
      </c>
      <c r="X31" s="310">
        <v>0.01</v>
      </c>
      <c r="Y31" s="245">
        <f t="shared" si="2"/>
        <v>25</v>
      </c>
      <c r="Z31" s="245">
        <f>IF(OR($AN$18=Devices[[#This Row],[Input Type]], 0=Devices[[#This Row],[Input Type]]),Devices[[#This Row],[Row Num]], " ")</f>
        <v>25</v>
      </c>
      <c r="AA31" s="245" t="str">
        <f>IF(OR($AN$19=Devices[[#This Row],[Input Type]], 0=Devices[[#This Row],[Input Type]]),Devices[[#This Row],[Row Num]], " ")</f>
        <v xml:space="preserve"> </v>
      </c>
      <c r="AB31" s="245" t="str">
        <f>IF(OR($AN$20=Devices[[#This Row],[Input Type]], 0=Devices[[#This Row],[Input Type]]),Devices[[#This Row],[Row Num]], " ")</f>
        <v xml:space="preserve"> </v>
      </c>
      <c r="AC31" s="245" t="str">
        <f>IF(0=Devices[[#This Row],[Input Type]], Devices[[#This Row],[Row Num]], " ")</f>
        <v xml:space="preserve"> </v>
      </c>
      <c r="AD31" s="245">
        <f>IFERROR(SMALL(Devices[Row Sel D], Devices[[#This Row],[Row Num]]), " ")</f>
        <v>31</v>
      </c>
      <c r="AE31" s="245">
        <f>IFERROR(SMALL(Devices[Row Sel IntRdiv], Devices[[#This Row],[Row Num]]), " ")</f>
        <v>109</v>
      </c>
      <c r="AF31" s="245">
        <f>IFERROR(SMALL(Devices[Row Sel SE], Devices[[#This Row],[Row Num]]), " ")</f>
        <v>90</v>
      </c>
      <c r="AG31" s="245">
        <f>IFERROR(SMALL(Devices[Row Sel N], Devices[[#This Row],[Row Num]]), " ")</f>
        <v>113</v>
      </c>
      <c r="AH31" s="245" t="str">
        <f>IFERROR(INDEX(Devices[Part], Devices[[#This Row],[Sel D]], 1), "")</f>
        <v>AMC0300D-Q1</v>
      </c>
      <c r="AI31" s="245">
        <f>IFERROR(INDEX(Devices[Part], Devices[[#This Row],[Sel IntRdiv]], 1), "")</f>
        <v>0</v>
      </c>
      <c r="AJ31" s="245">
        <f>IFERROR(INDEX(Devices[Part], Devices[[#This Row],[Sel SE]], 1), "")</f>
        <v>0</v>
      </c>
      <c r="AK31" s="245">
        <f>IFERROR(INDEX(Devices[Part], Devices[[#This Row],[Sel N]], 1), "")</f>
        <v>0</v>
      </c>
      <c r="AM31" s="246"/>
    </row>
    <row r="32" spans="1:40" ht="15" customHeight="1">
      <c r="A32" s="281" t="s">
        <v>495</v>
      </c>
      <c r="B32" s="241" t="s">
        <v>51</v>
      </c>
      <c r="C32" s="352" t="s">
        <v>455</v>
      </c>
      <c r="D32" s="249">
        <v>4.0000000000000002E-4</v>
      </c>
      <c r="E32" s="249">
        <v>2.5000000000000001E-3</v>
      </c>
      <c r="F32" s="250">
        <v>5</v>
      </c>
      <c r="G32" s="250">
        <v>40</v>
      </c>
      <c r="H32" s="398">
        <v>0.01</v>
      </c>
      <c r="I32" s="398">
        <v>1.5</v>
      </c>
      <c r="J32" s="252">
        <v>2</v>
      </c>
      <c r="K32" s="252">
        <v>20</v>
      </c>
      <c r="L32" s="249">
        <v>1.2999999999999999E-4</v>
      </c>
      <c r="M32" s="249">
        <v>2.5000000000000001E-4</v>
      </c>
      <c r="N32" s="250">
        <v>1</v>
      </c>
      <c r="O32" s="250">
        <v>3</v>
      </c>
      <c r="P32" s="276">
        <v>1000</v>
      </c>
      <c r="Q32" s="399">
        <v>3.3</v>
      </c>
      <c r="R32" s="277">
        <v>-40</v>
      </c>
      <c r="S32" s="277">
        <v>125</v>
      </c>
      <c r="T32" s="256"/>
      <c r="U32" s="256">
        <v>2400000000</v>
      </c>
      <c r="V32" s="256">
        <v>2400000000</v>
      </c>
      <c r="W32" s="435">
        <v>3.3</v>
      </c>
      <c r="X32" s="310">
        <v>0.01</v>
      </c>
      <c r="Y32" s="245">
        <f t="shared" ref="Y32:Y35" si="3">ROW()-6</f>
        <v>26</v>
      </c>
      <c r="Z32" s="245">
        <f>IF(OR($AN$18=Devices[[#This Row],[Input Type]], 0=Devices[[#This Row],[Input Type]]),Devices[[#This Row],[Row Num]], " ")</f>
        <v>26</v>
      </c>
      <c r="AA32" s="245" t="str">
        <f>IF(OR($AN$19=Devices[[#This Row],[Input Type]], 0=Devices[[#This Row],[Input Type]]),Devices[[#This Row],[Row Num]], " ")</f>
        <v xml:space="preserve"> </v>
      </c>
      <c r="AB32" s="245" t="str">
        <f>IF(OR($AN$20=Devices[[#This Row],[Input Type]], 0=Devices[[#This Row],[Input Type]]),Devices[[#This Row],[Row Num]], " ")</f>
        <v xml:space="preserve"> </v>
      </c>
      <c r="AC32" s="245" t="str">
        <f>IF(0=Devices[[#This Row],[Input Type]], Devices[[#This Row],[Row Num]], " ")</f>
        <v xml:space="preserve"> </v>
      </c>
      <c r="AD32" s="245">
        <f>IFERROR(SMALL(Devices[Row Sel D], Devices[[#This Row],[Row Num]]), " ")</f>
        <v>32</v>
      </c>
      <c r="AE32" s="245">
        <f>IFERROR(SMALL(Devices[Row Sel IntRdiv], Devices[[#This Row],[Row Num]]), " ")</f>
        <v>110</v>
      </c>
      <c r="AF32" s="245">
        <f>IFERROR(SMALL(Devices[Row Sel SE], Devices[[#This Row],[Row Num]]), " ")</f>
        <v>91</v>
      </c>
      <c r="AG32" s="245">
        <f>IFERROR(SMALL(Devices[Row Sel N], Devices[[#This Row],[Row Num]]), " ")</f>
        <v>114</v>
      </c>
      <c r="AH32" s="245" t="str">
        <f>IFERROR(INDEX(Devices[Part], Devices[[#This Row],[Sel D]], 1), "")</f>
        <v>AMC0300R (Vref = 3.3V)</v>
      </c>
      <c r="AI32" s="245">
        <f>IFERROR(INDEX(Devices[Part], Devices[[#This Row],[Sel IntRdiv]], 1), "")</f>
        <v>0</v>
      </c>
      <c r="AJ32" s="245">
        <f>IFERROR(INDEX(Devices[Part], Devices[[#This Row],[Sel SE]], 1), "")</f>
        <v>0</v>
      </c>
      <c r="AK32" s="245">
        <f>IFERROR(INDEX(Devices[Part], Devices[[#This Row],[Sel N]], 1), "")</f>
        <v>0</v>
      </c>
      <c r="AM32" s="246"/>
    </row>
    <row r="33" spans="1:39" ht="15" customHeight="1">
      <c r="A33" s="281" t="s">
        <v>496</v>
      </c>
      <c r="B33" s="241" t="s">
        <v>51</v>
      </c>
      <c r="C33" s="352" t="s">
        <v>455</v>
      </c>
      <c r="D33" s="249">
        <v>4.0000000000000002E-4</v>
      </c>
      <c r="E33" s="249">
        <v>2.5000000000000001E-3</v>
      </c>
      <c r="F33" s="250">
        <v>5</v>
      </c>
      <c r="G33" s="250">
        <v>40</v>
      </c>
      <c r="H33" s="398">
        <v>0.01</v>
      </c>
      <c r="I33" s="398">
        <v>1.5</v>
      </c>
      <c r="J33" s="252">
        <v>2</v>
      </c>
      <c r="K33" s="252">
        <v>20</v>
      </c>
      <c r="L33" s="249">
        <v>1.2999999999999999E-4</v>
      </c>
      <c r="M33" s="249">
        <v>2.5000000000000001E-4</v>
      </c>
      <c r="N33" s="250">
        <v>1</v>
      </c>
      <c r="O33" s="250">
        <v>3</v>
      </c>
      <c r="P33" s="276">
        <v>1000</v>
      </c>
      <c r="Q33" s="399">
        <v>5</v>
      </c>
      <c r="R33" s="277">
        <v>-40</v>
      </c>
      <c r="S33" s="277">
        <v>125</v>
      </c>
      <c r="T33" s="256"/>
      <c r="U33" s="256">
        <v>2400000000</v>
      </c>
      <c r="V33" s="256">
        <v>2400000000</v>
      </c>
      <c r="W33" s="435">
        <v>5</v>
      </c>
      <c r="X33" s="310">
        <v>0.01</v>
      </c>
      <c r="Y33" s="245">
        <f t="shared" si="3"/>
        <v>27</v>
      </c>
      <c r="Z33" s="245">
        <f>IF(OR($AN$18=Devices[[#This Row],[Input Type]], 0=Devices[[#This Row],[Input Type]]),Devices[[#This Row],[Row Num]], " ")</f>
        <v>27</v>
      </c>
      <c r="AA33" s="245" t="str">
        <f>IF(OR($AN$19=Devices[[#This Row],[Input Type]], 0=Devices[[#This Row],[Input Type]]),Devices[[#This Row],[Row Num]], " ")</f>
        <v xml:space="preserve"> </v>
      </c>
      <c r="AB33" s="245" t="str">
        <f>IF(OR($AN$20=Devices[[#This Row],[Input Type]], 0=Devices[[#This Row],[Input Type]]),Devices[[#This Row],[Row Num]], " ")</f>
        <v xml:space="preserve"> </v>
      </c>
      <c r="AC33" s="245" t="str">
        <f>IF(0=Devices[[#This Row],[Input Type]], Devices[[#This Row],[Row Num]], " ")</f>
        <v xml:space="preserve"> </v>
      </c>
      <c r="AD33" s="245">
        <f>IFERROR(SMALL(Devices[Row Sel D], Devices[[#This Row],[Row Num]]), " ")</f>
        <v>33</v>
      </c>
      <c r="AE33" s="245">
        <f>IFERROR(SMALL(Devices[Row Sel IntRdiv], Devices[[#This Row],[Row Num]]), " ")</f>
        <v>111</v>
      </c>
      <c r="AF33" s="245">
        <f>IFERROR(SMALL(Devices[Row Sel SE], Devices[[#This Row],[Row Num]]), " ")</f>
        <v>92</v>
      </c>
      <c r="AG33" s="245">
        <f>IFERROR(SMALL(Devices[Row Sel N], Devices[[#This Row],[Row Num]]), " ")</f>
        <v>115</v>
      </c>
      <c r="AH33" s="245" t="str">
        <f>IFERROR(INDEX(Devices[Part], Devices[[#This Row],[Sel D]], 1), "")</f>
        <v>AMC0300R (Vref = 5V)</v>
      </c>
      <c r="AI33" s="245">
        <f>IFERROR(INDEX(Devices[Part], Devices[[#This Row],[Sel IntRdiv]], 1), "")</f>
        <v>0</v>
      </c>
      <c r="AJ33" s="245">
        <f>IFERROR(INDEX(Devices[Part], Devices[[#This Row],[Sel SE]], 1), "")</f>
        <v>0</v>
      </c>
      <c r="AK33" s="245">
        <f>IFERROR(INDEX(Devices[Part], Devices[[#This Row],[Sel N]], 1), "")</f>
        <v>0</v>
      </c>
      <c r="AM33" s="246"/>
    </row>
    <row r="34" spans="1:39" ht="15" customHeight="1">
      <c r="A34" s="281" t="s">
        <v>497</v>
      </c>
      <c r="B34" s="241" t="s">
        <v>51</v>
      </c>
      <c r="C34" s="352" t="s">
        <v>52</v>
      </c>
      <c r="D34" s="249">
        <v>4.0000000000000002E-4</v>
      </c>
      <c r="E34" s="249">
        <v>2.5000000000000001E-3</v>
      </c>
      <c r="F34" s="250">
        <v>5</v>
      </c>
      <c r="G34" s="250">
        <v>45</v>
      </c>
      <c r="H34" s="398">
        <v>0.1</v>
      </c>
      <c r="I34" s="398">
        <v>1.2</v>
      </c>
      <c r="J34" s="252">
        <v>2</v>
      </c>
      <c r="K34" s="252">
        <v>20</v>
      </c>
      <c r="L34" s="249">
        <v>1E-4</v>
      </c>
      <c r="M34" s="249">
        <v>2.5000000000000001E-4</v>
      </c>
      <c r="N34" s="250">
        <v>1</v>
      </c>
      <c r="O34" s="250">
        <v>3</v>
      </c>
      <c r="P34" s="276">
        <v>1000</v>
      </c>
      <c r="Q34" s="399">
        <v>2</v>
      </c>
      <c r="R34" s="277">
        <v>-40</v>
      </c>
      <c r="S34" s="277">
        <v>125</v>
      </c>
      <c r="T34" s="256"/>
      <c r="U34" s="256">
        <v>2400000000</v>
      </c>
      <c r="V34" s="278">
        <v>2400000000</v>
      </c>
      <c r="W34" s="435">
        <v>2</v>
      </c>
      <c r="X34" s="310">
        <v>0.01</v>
      </c>
      <c r="Y34" s="245">
        <f t="shared" si="3"/>
        <v>28</v>
      </c>
      <c r="Z34" s="245">
        <f>IF(OR($AN$18=Devices[[#This Row],[Input Type]], 0=Devices[[#This Row],[Input Type]]),Devices[[#This Row],[Row Num]], " ")</f>
        <v>28</v>
      </c>
      <c r="AA34" s="245" t="str">
        <f>IF(OR($AN$19=Devices[[#This Row],[Input Type]], 0=Devices[[#This Row],[Input Type]]),Devices[[#This Row],[Row Num]], " ")</f>
        <v xml:space="preserve"> </v>
      </c>
      <c r="AB34" s="245" t="str">
        <f>IF(OR($AN$20=Devices[[#This Row],[Input Type]], 0=Devices[[#This Row],[Input Type]]),Devices[[#This Row],[Row Num]], " ")</f>
        <v xml:space="preserve"> </v>
      </c>
      <c r="AC34" s="245" t="str">
        <f>IF(0=Devices[[#This Row],[Input Type]], Devices[[#This Row],[Row Num]], " ")</f>
        <v xml:space="preserve"> </v>
      </c>
      <c r="AD34" s="245">
        <f>IFERROR(SMALL(Devices[Row Sel D], Devices[[#This Row],[Row Num]]), " ")</f>
        <v>34</v>
      </c>
      <c r="AE34" s="245">
        <f>IFERROR(SMALL(Devices[Row Sel IntRdiv], Devices[[#This Row],[Row Num]]), " ")</f>
        <v>112</v>
      </c>
      <c r="AF34" s="245">
        <f>IFERROR(SMALL(Devices[Row Sel SE], Devices[[#This Row],[Row Num]]), " ")</f>
        <v>93</v>
      </c>
      <c r="AG34" s="245">
        <f>IFERROR(SMALL(Devices[Row Sel N], Devices[[#This Row],[Row Num]]), " ")</f>
        <v>116</v>
      </c>
      <c r="AH34" s="245" t="str">
        <f>IFERROR(INDEX(Devices[Part], Devices[[#This Row],[Sel D]], 1), "")</f>
        <v>AMC0300R-Q1 (Vref = 3.3V)</v>
      </c>
      <c r="AI34" s="245">
        <f>IFERROR(INDEX(Devices[Part], Devices[[#This Row],[Sel IntRdiv]], 1), "")</f>
        <v>0</v>
      </c>
      <c r="AJ34" s="245">
        <f>IFERROR(INDEX(Devices[Part], Devices[[#This Row],[Sel SE]], 1), "")</f>
        <v>0</v>
      </c>
      <c r="AK34" s="245">
        <f>IFERROR(INDEX(Devices[Part], Devices[[#This Row],[Sel N]], 1), "")</f>
        <v>0</v>
      </c>
      <c r="AM34" s="246"/>
    </row>
    <row r="35" spans="1:39" ht="15" customHeight="1">
      <c r="A35" s="281" t="s">
        <v>498</v>
      </c>
      <c r="B35" s="241" t="s">
        <v>51</v>
      </c>
      <c r="C35" s="352" t="s">
        <v>52</v>
      </c>
      <c r="D35" s="249">
        <v>4.0000000000000002E-4</v>
      </c>
      <c r="E35" s="249">
        <v>2.5000000000000001E-3</v>
      </c>
      <c r="F35" s="250">
        <v>5</v>
      </c>
      <c r="G35" s="250">
        <v>45</v>
      </c>
      <c r="H35" s="398">
        <v>0.1</v>
      </c>
      <c r="I35" s="398">
        <v>1.2</v>
      </c>
      <c r="J35" s="252">
        <v>2</v>
      </c>
      <c r="K35" s="252">
        <v>20</v>
      </c>
      <c r="L35" s="249">
        <v>1E-4</v>
      </c>
      <c r="M35" s="249">
        <v>2.5000000000000001E-4</v>
      </c>
      <c r="N35" s="250">
        <v>1</v>
      </c>
      <c r="O35" s="250">
        <v>3</v>
      </c>
      <c r="P35" s="276">
        <v>1000</v>
      </c>
      <c r="Q35" s="399">
        <v>2</v>
      </c>
      <c r="R35" s="277">
        <v>-40</v>
      </c>
      <c r="S35" s="277">
        <v>125</v>
      </c>
      <c r="T35" s="256"/>
      <c r="U35" s="256">
        <v>2400000000</v>
      </c>
      <c r="V35" s="278">
        <v>2400000000</v>
      </c>
      <c r="W35" s="435">
        <v>2</v>
      </c>
      <c r="X35" s="310">
        <v>0.01</v>
      </c>
      <c r="Y35" s="245">
        <f t="shared" si="3"/>
        <v>29</v>
      </c>
      <c r="Z35" s="245">
        <f>IF(OR($AN$18=Devices[[#This Row],[Input Type]], 0=Devices[[#This Row],[Input Type]]),Devices[[#This Row],[Row Num]], " ")</f>
        <v>29</v>
      </c>
      <c r="AA35" s="245" t="str">
        <f>IF(OR($AN$19=Devices[[#This Row],[Input Type]], 0=Devices[[#This Row],[Input Type]]),Devices[[#This Row],[Row Num]], " ")</f>
        <v xml:space="preserve"> </v>
      </c>
      <c r="AB35" s="245" t="str">
        <f>IF(OR($AN$20=Devices[[#This Row],[Input Type]], 0=Devices[[#This Row],[Input Type]]),Devices[[#This Row],[Row Num]], " ")</f>
        <v xml:space="preserve"> </v>
      </c>
      <c r="AC35" s="245" t="str">
        <f>IF(0=Devices[[#This Row],[Input Type]], Devices[[#This Row],[Row Num]], " ")</f>
        <v xml:space="preserve"> </v>
      </c>
      <c r="AD35" s="245">
        <f>IFERROR(SMALL(Devices[Row Sel D], Devices[[#This Row],[Row Num]]), " ")</f>
        <v>35</v>
      </c>
      <c r="AE35" s="245">
        <f>IFERROR(SMALL(Devices[Row Sel IntRdiv], Devices[[#This Row],[Row Num]]), " ")</f>
        <v>113</v>
      </c>
      <c r="AF35" s="245">
        <f>IFERROR(SMALL(Devices[Row Sel SE], Devices[[#This Row],[Row Num]]), " ")</f>
        <v>94</v>
      </c>
      <c r="AG35" s="245">
        <f>IFERROR(SMALL(Devices[Row Sel N], Devices[[#This Row],[Row Num]]), " ")</f>
        <v>117</v>
      </c>
      <c r="AH35" s="245" t="str">
        <f>IFERROR(INDEX(Devices[Part], Devices[[#This Row],[Sel D]], 1), "")</f>
        <v>AMC0300R-Q1 (Vref = 5V)</v>
      </c>
      <c r="AI35" s="245">
        <f>IFERROR(INDEX(Devices[Part], Devices[[#This Row],[Sel IntRdiv]], 1), "")</f>
        <v>0</v>
      </c>
      <c r="AJ35" s="245">
        <f>IFERROR(INDEX(Devices[Part], Devices[[#This Row],[Sel SE]], 1), "")</f>
        <v>0</v>
      </c>
      <c r="AK35" s="245">
        <f>IFERROR(INDEX(Devices[Part], Devices[[#This Row],[Sel N]], 1), "")</f>
        <v>0</v>
      </c>
      <c r="AM35" s="246"/>
    </row>
    <row r="36" spans="1:39" ht="15" customHeight="1">
      <c r="A36" s="281" t="s">
        <v>499</v>
      </c>
      <c r="B36" s="241" t="s">
        <v>51</v>
      </c>
      <c r="C36" s="352" t="s">
        <v>51</v>
      </c>
      <c r="D36" s="249">
        <v>4.0000000000000002E-4</v>
      </c>
      <c r="E36" s="249">
        <v>2.5000000000000001E-3</v>
      </c>
      <c r="F36" s="250">
        <v>5</v>
      </c>
      <c r="G36" s="250">
        <v>35</v>
      </c>
      <c r="H36" s="398">
        <v>0.01</v>
      </c>
      <c r="I36" s="398">
        <v>0.2</v>
      </c>
      <c r="J36" s="252">
        <v>0.25</v>
      </c>
      <c r="K36" s="252">
        <v>2</v>
      </c>
      <c r="L36" s="249">
        <v>1.2999999999999999E-4</v>
      </c>
      <c r="M36" s="249">
        <v>4.0000000000000002E-4</v>
      </c>
      <c r="N36" s="250">
        <v>1</v>
      </c>
      <c r="O36" s="250">
        <v>3</v>
      </c>
      <c r="P36" s="276">
        <v>250</v>
      </c>
      <c r="Q36" s="399">
        <v>2.0499999999999998</v>
      </c>
      <c r="R36" s="277">
        <v>-40</v>
      </c>
      <c r="S36" s="277">
        <v>125</v>
      </c>
      <c r="T36" s="256"/>
      <c r="U36" s="256">
        <v>27500</v>
      </c>
      <c r="V36" s="278">
        <v>27500</v>
      </c>
      <c r="W36" s="435">
        <v>8.1999999999999993</v>
      </c>
      <c r="X36" s="310">
        <v>0</v>
      </c>
      <c r="Y36" s="245">
        <f>ROW()-6</f>
        <v>30</v>
      </c>
      <c r="Z36" s="245">
        <f>IF(OR($AN$18=Devices[[#This Row],[Input Type]], 0=Devices[[#This Row],[Input Type]]),Devices[[#This Row],[Row Num]], " ")</f>
        <v>30</v>
      </c>
      <c r="AA36" s="245" t="str">
        <f>IF(OR($AN$19=Devices[[#This Row],[Input Type]], 0=Devices[[#This Row],[Input Type]]),Devices[[#This Row],[Row Num]], " ")</f>
        <v xml:space="preserve"> </v>
      </c>
      <c r="AB36" s="245" t="str">
        <f>IF(OR($AN$20=Devices[[#This Row],[Input Type]], 0=Devices[[#This Row],[Input Type]]),Devices[[#This Row],[Row Num]], " ")</f>
        <v xml:space="preserve"> </v>
      </c>
      <c r="AC36" s="245" t="str">
        <f>IF(0=Devices[[#This Row],[Input Type]], Devices[[#This Row],[Row Num]], " ")</f>
        <v xml:space="preserve"> </v>
      </c>
      <c r="AD36" s="245">
        <f>IFERROR(SMALL(Devices[Row Sel D], Devices[[#This Row],[Row Num]]), " ")</f>
        <v>36</v>
      </c>
      <c r="AE36" s="245">
        <f>IFERROR(SMALL(Devices[Row Sel IntRdiv], Devices[[#This Row],[Row Num]]), " ")</f>
        <v>114</v>
      </c>
      <c r="AF36" s="245">
        <f>IFERROR(SMALL(Devices[Row Sel SE], Devices[[#This Row],[Row Num]]), " ")</f>
        <v>95</v>
      </c>
      <c r="AG36" s="245">
        <f>IFERROR(SMALL(Devices[Row Sel N], Devices[[#This Row],[Row Num]]), " ")</f>
        <v>118</v>
      </c>
      <c r="AH36" s="245" t="str">
        <f>IFERROR(INDEX(Devices[Part], Devices[[#This Row],[Sel D]], 1), "")</f>
        <v>AMC0302D</v>
      </c>
      <c r="AI36" s="245">
        <f>IFERROR(INDEX(Devices[Part], Devices[[#This Row],[Sel IntRdiv]], 1), "")</f>
        <v>0</v>
      </c>
      <c r="AJ36" s="245">
        <f>IFERROR(INDEX(Devices[Part], Devices[[#This Row],[Sel SE]], 1), "")</f>
        <v>0</v>
      </c>
      <c r="AK36" s="245">
        <f>IFERROR(INDEX(Devices[Part], Devices[[#This Row],[Sel N]], 1), "")</f>
        <v>0</v>
      </c>
      <c r="AM36" s="246"/>
    </row>
    <row r="37" spans="1:39" ht="15" customHeight="1">
      <c r="A37" s="281" t="s">
        <v>500</v>
      </c>
      <c r="B37" s="241" t="s">
        <v>51</v>
      </c>
      <c r="C37" s="352" t="s">
        <v>51</v>
      </c>
      <c r="D37" s="249">
        <v>4.0000000000000002E-4</v>
      </c>
      <c r="E37" s="249">
        <v>2.5000000000000001E-3</v>
      </c>
      <c r="F37" s="250">
        <v>5</v>
      </c>
      <c r="G37" s="250">
        <v>35</v>
      </c>
      <c r="H37" s="398">
        <v>0.01</v>
      </c>
      <c r="I37" s="398">
        <v>0.2</v>
      </c>
      <c r="J37" s="252">
        <v>0.25</v>
      </c>
      <c r="K37" s="252">
        <v>2</v>
      </c>
      <c r="L37" s="249">
        <v>1.2999999999999999E-4</v>
      </c>
      <c r="M37" s="249">
        <v>4.0000000000000002E-4</v>
      </c>
      <c r="N37" s="250">
        <v>1</v>
      </c>
      <c r="O37" s="250">
        <v>3</v>
      </c>
      <c r="P37" s="276">
        <v>250</v>
      </c>
      <c r="Q37" s="399">
        <v>2.0499999999999998</v>
      </c>
      <c r="R37" s="277">
        <v>-40</v>
      </c>
      <c r="S37" s="277">
        <v>125</v>
      </c>
      <c r="T37" s="256"/>
      <c r="U37" s="256">
        <v>27500</v>
      </c>
      <c r="V37" s="278">
        <v>27500</v>
      </c>
      <c r="W37" s="435">
        <v>8.1999999999999993</v>
      </c>
      <c r="X37" s="310">
        <v>0</v>
      </c>
      <c r="Y37" s="245">
        <f>ROW()-6</f>
        <v>31</v>
      </c>
      <c r="Z37" s="245">
        <f>IF(OR($AN$18=Devices[[#This Row],[Input Type]], 0=Devices[[#This Row],[Input Type]]),Devices[[#This Row],[Row Num]], " ")</f>
        <v>31</v>
      </c>
      <c r="AA37" s="245" t="str">
        <f>IF(OR($AN$19=Devices[[#This Row],[Input Type]], 0=Devices[[#This Row],[Input Type]]),Devices[[#This Row],[Row Num]], " ")</f>
        <v xml:space="preserve"> </v>
      </c>
      <c r="AB37" s="245" t="str">
        <f>IF(OR($AN$20=Devices[[#This Row],[Input Type]], 0=Devices[[#This Row],[Input Type]]),Devices[[#This Row],[Row Num]], " ")</f>
        <v xml:space="preserve"> </v>
      </c>
      <c r="AC37" s="245" t="str">
        <f>IF(0=Devices[[#This Row],[Input Type]], Devices[[#This Row],[Row Num]], " ")</f>
        <v xml:space="preserve"> </v>
      </c>
      <c r="AD37" s="245">
        <f>IFERROR(SMALL(Devices[Row Sel D], Devices[[#This Row],[Row Num]]), " ")</f>
        <v>37</v>
      </c>
      <c r="AE37" s="245">
        <f>IFERROR(SMALL(Devices[Row Sel IntRdiv], Devices[[#This Row],[Row Num]]), " ")</f>
        <v>115</v>
      </c>
      <c r="AF37" s="245">
        <f>IFERROR(SMALL(Devices[Row Sel SE], Devices[[#This Row],[Row Num]]), " ")</f>
        <v>96</v>
      </c>
      <c r="AG37" s="245">
        <f>IFERROR(SMALL(Devices[Row Sel N], Devices[[#This Row],[Row Num]]), " ")</f>
        <v>119</v>
      </c>
      <c r="AH37" s="245" t="str">
        <f>IFERROR(INDEX(Devices[Part], Devices[[#This Row],[Sel D]], 1), "")</f>
        <v>AMC0302D-Q1</v>
      </c>
      <c r="AI37" s="245">
        <f>IFERROR(INDEX(Devices[Part], Devices[[#This Row],[Sel IntRdiv]], 1), "")</f>
        <v>0</v>
      </c>
      <c r="AJ37" s="245">
        <f>IFERROR(INDEX(Devices[Part], Devices[[#This Row],[Sel SE]], 1), "")</f>
        <v>0</v>
      </c>
      <c r="AK37" s="245">
        <f>IFERROR(INDEX(Devices[Part], Devices[[#This Row],[Sel N]], 1), "")</f>
        <v>0</v>
      </c>
      <c r="AM37" s="246"/>
    </row>
    <row r="38" spans="1:39" ht="15" customHeight="1">
      <c r="A38" s="281" t="s">
        <v>501</v>
      </c>
      <c r="B38" s="241" t="s">
        <v>51</v>
      </c>
      <c r="C38" s="352" t="s">
        <v>455</v>
      </c>
      <c r="D38" s="249">
        <v>4.0000000000000002E-4</v>
      </c>
      <c r="E38" s="249">
        <v>2.5000000000000001E-3</v>
      </c>
      <c r="F38" s="250">
        <v>5</v>
      </c>
      <c r="G38" s="250">
        <v>35</v>
      </c>
      <c r="H38" s="398">
        <v>0.01</v>
      </c>
      <c r="I38" s="398">
        <v>0.2</v>
      </c>
      <c r="J38" s="252">
        <v>0.25</v>
      </c>
      <c r="K38" s="252">
        <v>3</v>
      </c>
      <c r="L38" s="249">
        <v>1.2999999999999999E-4</v>
      </c>
      <c r="M38" s="249">
        <v>4.0000000000000001E-3</v>
      </c>
      <c r="N38" s="250">
        <v>1</v>
      </c>
      <c r="O38" s="250">
        <v>3</v>
      </c>
      <c r="P38" s="276">
        <v>250</v>
      </c>
      <c r="Q38" s="399">
        <v>3.3</v>
      </c>
      <c r="R38" s="277">
        <v>-40</v>
      </c>
      <c r="S38" s="277">
        <v>125</v>
      </c>
      <c r="T38" s="256"/>
      <c r="U38" s="256">
        <v>27500</v>
      </c>
      <c r="V38" s="278">
        <v>27500</v>
      </c>
      <c r="W38" s="435">
        <v>13.2</v>
      </c>
      <c r="X38" s="310">
        <v>0</v>
      </c>
      <c r="Y38" s="245">
        <f t="shared" ref="Y38:Y46" si="4">ROW()-6</f>
        <v>32</v>
      </c>
      <c r="Z38" s="245">
        <f>IF(OR($AN$18=Devices[[#This Row],[Input Type]], 0=Devices[[#This Row],[Input Type]]),Devices[[#This Row],[Row Num]], " ")</f>
        <v>32</v>
      </c>
      <c r="AA38" s="245" t="str">
        <f>IF(OR($AN$19=Devices[[#This Row],[Input Type]], 0=Devices[[#This Row],[Input Type]]),Devices[[#This Row],[Row Num]], " ")</f>
        <v xml:space="preserve"> </v>
      </c>
      <c r="AB38" s="245" t="str">
        <f>IF(OR($AN$20=Devices[[#This Row],[Input Type]], 0=Devices[[#This Row],[Input Type]]),Devices[[#This Row],[Row Num]], " ")</f>
        <v xml:space="preserve"> </v>
      </c>
      <c r="AC38" s="245" t="str">
        <f>IF(0=Devices[[#This Row],[Input Type]], Devices[[#This Row],[Row Num]], " ")</f>
        <v xml:space="preserve"> </v>
      </c>
      <c r="AD38" s="245">
        <f>IFERROR(SMALL(Devices[Row Sel D], Devices[[#This Row],[Row Num]]), " ")</f>
        <v>38</v>
      </c>
      <c r="AE38" s="245">
        <f>IFERROR(SMALL(Devices[Row Sel IntRdiv], Devices[[#This Row],[Row Num]]), " ")</f>
        <v>116</v>
      </c>
      <c r="AF38" s="245">
        <f>IFERROR(SMALL(Devices[Row Sel SE], Devices[[#This Row],[Row Num]]), " ")</f>
        <v>97</v>
      </c>
      <c r="AG38" s="245">
        <f>IFERROR(SMALL(Devices[Row Sel N], Devices[[#This Row],[Row Num]]), " ")</f>
        <v>120</v>
      </c>
      <c r="AH38" s="245" t="str">
        <f>IFERROR(INDEX(Devices[Part], Devices[[#This Row],[Sel D]], 1), "")</f>
        <v>AMC0302R (Vref = 3.3V)</v>
      </c>
      <c r="AI38" s="245">
        <f>IFERROR(INDEX(Devices[Part], Devices[[#This Row],[Sel IntRdiv]], 1), "")</f>
        <v>0</v>
      </c>
      <c r="AJ38" s="245">
        <f>IFERROR(INDEX(Devices[Part], Devices[[#This Row],[Sel SE]], 1), "")</f>
        <v>0</v>
      </c>
      <c r="AK38" s="245">
        <f>IFERROR(INDEX(Devices[Part], Devices[[#This Row],[Sel N]], 1), "")</f>
        <v>0</v>
      </c>
      <c r="AM38" s="246"/>
    </row>
    <row r="39" spans="1:39" ht="15" customHeight="1">
      <c r="A39" s="281" t="s">
        <v>502</v>
      </c>
      <c r="B39" s="241" t="s">
        <v>51</v>
      </c>
      <c r="C39" s="352" t="s">
        <v>455</v>
      </c>
      <c r="D39" s="249">
        <v>4.0000000000000002E-4</v>
      </c>
      <c r="E39" s="249">
        <v>2.5000000000000001E-3</v>
      </c>
      <c r="F39" s="250">
        <v>5</v>
      </c>
      <c r="G39" s="250">
        <v>35</v>
      </c>
      <c r="H39" s="398">
        <v>0.01</v>
      </c>
      <c r="I39" s="398">
        <v>0.2</v>
      </c>
      <c r="J39" s="252">
        <v>0.25</v>
      </c>
      <c r="K39" s="252">
        <v>3</v>
      </c>
      <c r="L39" s="249">
        <v>1.2999999999999999E-4</v>
      </c>
      <c r="M39" s="249">
        <v>4.0000000000000001E-3</v>
      </c>
      <c r="N39" s="250">
        <v>1</v>
      </c>
      <c r="O39" s="250">
        <v>3</v>
      </c>
      <c r="P39" s="276">
        <v>250</v>
      </c>
      <c r="Q39" s="399">
        <v>5</v>
      </c>
      <c r="R39" s="277">
        <v>-40</v>
      </c>
      <c r="S39" s="277">
        <v>125</v>
      </c>
      <c r="T39" s="256"/>
      <c r="U39" s="256">
        <v>27500</v>
      </c>
      <c r="V39" s="278">
        <v>27500</v>
      </c>
      <c r="W39" s="435">
        <v>20</v>
      </c>
      <c r="X39" s="310">
        <v>0</v>
      </c>
      <c r="Y39" s="245">
        <f t="shared" si="4"/>
        <v>33</v>
      </c>
      <c r="Z39" s="245">
        <f>IF(OR($AN$18=Devices[[#This Row],[Input Type]], 0=Devices[[#This Row],[Input Type]]),Devices[[#This Row],[Row Num]], " ")</f>
        <v>33</v>
      </c>
      <c r="AA39" s="245" t="str">
        <f>IF(OR($AN$19=Devices[[#This Row],[Input Type]], 0=Devices[[#This Row],[Input Type]]),Devices[[#This Row],[Row Num]], " ")</f>
        <v xml:space="preserve"> </v>
      </c>
      <c r="AB39" s="245" t="str">
        <f>IF(OR($AN$20=Devices[[#This Row],[Input Type]], 0=Devices[[#This Row],[Input Type]]),Devices[[#This Row],[Row Num]], " ")</f>
        <v xml:space="preserve"> </v>
      </c>
      <c r="AC39" s="245" t="str">
        <f>IF(0=Devices[[#This Row],[Input Type]], Devices[[#This Row],[Row Num]], " ")</f>
        <v xml:space="preserve"> </v>
      </c>
      <c r="AD39" s="245">
        <f>IFERROR(SMALL(Devices[Row Sel D], Devices[[#This Row],[Row Num]]), " ")</f>
        <v>39</v>
      </c>
      <c r="AE39" s="245">
        <f>IFERROR(SMALL(Devices[Row Sel IntRdiv], Devices[[#This Row],[Row Num]]), " ")</f>
        <v>117</v>
      </c>
      <c r="AF39" s="245">
        <f>IFERROR(SMALL(Devices[Row Sel SE], Devices[[#This Row],[Row Num]]), " ")</f>
        <v>98</v>
      </c>
      <c r="AG39" s="245">
        <f>IFERROR(SMALL(Devices[Row Sel N], Devices[[#This Row],[Row Num]]), " ")</f>
        <v>121</v>
      </c>
      <c r="AH39" s="245" t="str">
        <f>IFERROR(INDEX(Devices[Part], Devices[[#This Row],[Sel D]], 1), "")</f>
        <v>AMC0302R (Vref = 5V)</v>
      </c>
      <c r="AI39" s="245">
        <f>IFERROR(INDEX(Devices[Part], Devices[[#This Row],[Sel IntRdiv]], 1), "")</f>
        <v>0</v>
      </c>
      <c r="AJ39" s="245">
        <f>IFERROR(INDEX(Devices[Part], Devices[[#This Row],[Sel SE]], 1), "")</f>
        <v>0</v>
      </c>
      <c r="AK39" s="245">
        <f>IFERROR(INDEX(Devices[Part], Devices[[#This Row],[Sel N]], 1), "")</f>
        <v>0</v>
      </c>
      <c r="AM39" s="246"/>
    </row>
    <row r="40" spans="1:39" ht="15" customHeight="1">
      <c r="A40" s="281" t="s">
        <v>503</v>
      </c>
      <c r="B40" s="241" t="s">
        <v>51</v>
      </c>
      <c r="C40" s="352" t="s">
        <v>455</v>
      </c>
      <c r="D40" s="249">
        <v>4.0000000000000002E-4</v>
      </c>
      <c r="E40" s="249">
        <v>2.5000000000000001E-3</v>
      </c>
      <c r="F40" s="250">
        <v>5</v>
      </c>
      <c r="G40" s="250">
        <v>35</v>
      </c>
      <c r="H40" s="398">
        <v>0.01</v>
      </c>
      <c r="I40" s="398">
        <v>0.2</v>
      </c>
      <c r="J40" s="252">
        <v>0.25</v>
      </c>
      <c r="K40" s="252">
        <v>3</v>
      </c>
      <c r="L40" s="249">
        <v>1.2999999999999999E-4</v>
      </c>
      <c r="M40" s="249">
        <v>4.0000000000000001E-3</v>
      </c>
      <c r="N40" s="250">
        <v>1</v>
      </c>
      <c r="O40" s="250">
        <v>3</v>
      </c>
      <c r="P40" s="276">
        <v>250</v>
      </c>
      <c r="Q40" s="399">
        <v>3.3</v>
      </c>
      <c r="R40" s="277">
        <v>-40</v>
      </c>
      <c r="S40" s="277">
        <v>125</v>
      </c>
      <c r="T40" s="256"/>
      <c r="U40" s="256">
        <v>27500</v>
      </c>
      <c r="V40" s="278">
        <v>27500</v>
      </c>
      <c r="W40" s="435">
        <v>13.2</v>
      </c>
      <c r="X40" s="310">
        <v>0</v>
      </c>
      <c r="Y40" s="245">
        <f t="shared" si="4"/>
        <v>34</v>
      </c>
      <c r="Z40" s="245">
        <f>IF(OR($AN$18=Devices[[#This Row],[Input Type]], 0=Devices[[#This Row],[Input Type]]),Devices[[#This Row],[Row Num]], " ")</f>
        <v>34</v>
      </c>
      <c r="AA40" s="245" t="str">
        <f>IF(OR($AN$19=Devices[[#This Row],[Input Type]], 0=Devices[[#This Row],[Input Type]]),Devices[[#This Row],[Row Num]], " ")</f>
        <v xml:space="preserve"> </v>
      </c>
      <c r="AB40" s="245" t="str">
        <f>IF(OR($AN$20=Devices[[#This Row],[Input Type]], 0=Devices[[#This Row],[Input Type]]),Devices[[#This Row],[Row Num]], " ")</f>
        <v xml:space="preserve"> </v>
      </c>
      <c r="AC40" s="245" t="str">
        <f>IF(0=Devices[[#This Row],[Input Type]], Devices[[#This Row],[Row Num]], " ")</f>
        <v xml:space="preserve"> </v>
      </c>
      <c r="AD40" s="245">
        <f>IFERROR(SMALL(Devices[Row Sel D], Devices[[#This Row],[Row Num]]), " ")</f>
        <v>40</v>
      </c>
      <c r="AE40" s="245">
        <f>IFERROR(SMALL(Devices[Row Sel IntRdiv], Devices[[#This Row],[Row Num]]), " ")</f>
        <v>118</v>
      </c>
      <c r="AF40" s="245">
        <f>IFERROR(SMALL(Devices[Row Sel SE], Devices[[#This Row],[Row Num]]), " ")</f>
        <v>99</v>
      </c>
      <c r="AG40" s="245">
        <f>IFERROR(SMALL(Devices[Row Sel N], Devices[[#This Row],[Row Num]]), " ")</f>
        <v>122</v>
      </c>
      <c r="AH40" s="245" t="str">
        <f>IFERROR(INDEX(Devices[Part], Devices[[#This Row],[Sel D]], 1), "")</f>
        <v>AMC0302R-Q1 (Vref = 3.3V)</v>
      </c>
      <c r="AI40" s="245">
        <f>IFERROR(INDEX(Devices[Part], Devices[[#This Row],[Sel IntRdiv]], 1), "")</f>
        <v>0</v>
      </c>
      <c r="AJ40" s="245">
        <f>IFERROR(INDEX(Devices[Part], Devices[[#This Row],[Sel SE]], 1), "")</f>
        <v>0</v>
      </c>
      <c r="AK40" s="245">
        <f>IFERROR(INDEX(Devices[Part], Devices[[#This Row],[Sel N]], 1), "")</f>
        <v>0</v>
      </c>
      <c r="AM40" s="246"/>
    </row>
    <row r="41" spans="1:39" ht="15" customHeight="1">
      <c r="A41" s="281" t="s">
        <v>504</v>
      </c>
      <c r="B41" s="241" t="s">
        <v>51</v>
      </c>
      <c r="C41" s="352" t="s">
        <v>455</v>
      </c>
      <c r="D41" s="249">
        <v>4.0000000000000002E-4</v>
      </c>
      <c r="E41" s="249">
        <v>2.5000000000000001E-3</v>
      </c>
      <c r="F41" s="250">
        <v>5</v>
      </c>
      <c r="G41" s="250">
        <v>35</v>
      </c>
      <c r="H41" s="398">
        <v>0.01</v>
      </c>
      <c r="I41" s="398">
        <v>0.2</v>
      </c>
      <c r="J41" s="252">
        <v>0.25</v>
      </c>
      <c r="K41" s="252">
        <v>3</v>
      </c>
      <c r="L41" s="249">
        <v>1.2999999999999999E-4</v>
      </c>
      <c r="M41" s="249">
        <v>4.0000000000000001E-3</v>
      </c>
      <c r="N41" s="250">
        <v>1</v>
      </c>
      <c r="O41" s="250">
        <v>3</v>
      </c>
      <c r="P41" s="276">
        <v>250</v>
      </c>
      <c r="Q41" s="399">
        <v>5</v>
      </c>
      <c r="R41" s="277">
        <v>-40</v>
      </c>
      <c r="S41" s="277">
        <v>125</v>
      </c>
      <c r="T41" s="256"/>
      <c r="U41" s="256">
        <v>27500</v>
      </c>
      <c r="V41" s="278">
        <v>27500</v>
      </c>
      <c r="W41" s="435">
        <v>20</v>
      </c>
      <c r="X41" s="310">
        <v>0</v>
      </c>
      <c r="Y41" s="245">
        <f t="shared" si="4"/>
        <v>35</v>
      </c>
      <c r="Z41" s="245">
        <f>IF(OR($AN$18=Devices[[#This Row],[Input Type]], 0=Devices[[#This Row],[Input Type]]),Devices[[#This Row],[Row Num]], " ")</f>
        <v>35</v>
      </c>
      <c r="AA41" s="245" t="str">
        <f>IF(OR($AN$19=Devices[[#This Row],[Input Type]], 0=Devices[[#This Row],[Input Type]]),Devices[[#This Row],[Row Num]], " ")</f>
        <v xml:space="preserve"> </v>
      </c>
      <c r="AB41" s="245" t="str">
        <f>IF(OR($AN$20=Devices[[#This Row],[Input Type]], 0=Devices[[#This Row],[Input Type]]),Devices[[#This Row],[Row Num]], " ")</f>
        <v xml:space="preserve"> </v>
      </c>
      <c r="AC41" s="245" t="str">
        <f>IF(0=Devices[[#This Row],[Input Type]], Devices[[#This Row],[Row Num]], " ")</f>
        <v xml:space="preserve"> </v>
      </c>
      <c r="AD41" s="245">
        <f>IFERROR(SMALL(Devices[Row Sel D], Devices[[#This Row],[Row Num]]), " ")</f>
        <v>41</v>
      </c>
      <c r="AE41" s="245">
        <f>IFERROR(SMALL(Devices[Row Sel IntRdiv], Devices[[#This Row],[Row Num]]), " ")</f>
        <v>119</v>
      </c>
      <c r="AF41" s="245">
        <f>IFERROR(SMALL(Devices[Row Sel SE], Devices[[#This Row],[Row Num]]), " ")</f>
        <v>100</v>
      </c>
      <c r="AG41" s="245">
        <f>IFERROR(SMALL(Devices[Row Sel N], Devices[[#This Row],[Row Num]]), " ")</f>
        <v>123</v>
      </c>
      <c r="AH41" s="245" t="str">
        <f>IFERROR(INDEX(Devices[Part], Devices[[#This Row],[Sel D]], 1), "")</f>
        <v>AMC0302R-Q1 (Vref = 5V)</v>
      </c>
      <c r="AI41" s="245">
        <f>IFERROR(INDEX(Devices[Part], Devices[[#This Row],[Sel IntRdiv]], 1), "")</f>
        <v>0</v>
      </c>
      <c r="AJ41" s="245">
        <f>IFERROR(INDEX(Devices[Part], Devices[[#This Row],[Sel SE]], 1), "")</f>
        <v>0</v>
      </c>
      <c r="AK41" s="245">
        <f>IFERROR(INDEX(Devices[Part], Devices[[#This Row],[Sel N]], 1), "")</f>
        <v>0</v>
      </c>
      <c r="AM41" s="246"/>
    </row>
    <row r="42" spans="1:39" ht="15" customHeight="1">
      <c r="A42" s="281" t="s">
        <v>505</v>
      </c>
      <c r="B42" s="241" t="s">
        <v>51</v>
      </c>
      <c r="C42" s="352" t="s">
        <v>51</v>
      </c>
      <c r="D42" s="249">
        <v>4.0000000000000002E-4</v>
      </c>
      <c r="E42" s="249">
        <v>2E-3</v>
      </c>
      <c r="F42" s="250">
        <v>5</v>
      </c>
      <c r="G42" s="250">
        <v>45</v>
      </c>
      <c r="H42" s="398">
        <v>4.0000000000000001E-3</v>
      </c>
      <c r="I42" s="398">
        <v>0.05</v>
      </c>
      <c r="J42" s="252">
        <v>0.1</v>
      </c>
      <c r="K42" s="252">
        <v>0.9</v>
      </c>
      <c r="L42" s="249">
        <v>1.2999999999999999E-4</v>
      </c>
      <c r="M42" s="249">
        <v>4.0000000000000002E-4</v>
      </c>
      <c r="N42" s="250">
        <v>1</v>
      </c>
      <c r="O42" s="250">
        <v>3</v>
      </c>
      <c r="P42" s="276">
        <v>50</v>
      </c>
      <c r="Q42" s="399">
        <v>2.0499999999999998</v>
      </c>
      <c r="R42" s="277">
        <v>-40</v>
      </c>
      <c r="S42" s="277">
        <v>125</v>
      </c>
      <c r="T42" s="256"/>
      <c r="U42" s="256">
        <v>6300</v>
      </c>
      <c r="V42" s="278">
        <v>6300</v>
      </c>
      <c r="W42" s="435">
        <v>41</v>
      </c>
      <c r="X42" s="310">
        <v>0</v>
      </c>
      <c r="Y42" s="245">
        <f t="shared" si="4"/>
        <v>36</v>
      </c>
      <c r="Z42" s="245">
        <f>IF(OR($AN$18=Devices[[#This Row],[Input Type]], 0=Devices[[#This Row],[Input Type]]),Devices[[#This Row],[Row Num]], " ")</f>
        <v>36</v>
      </c>
      <c r="AA42" s="245" t="str">
        <f>IF(OR($AN$19=Devices[[#This Row],[Input Type]], 0=Devices[[#This Row],[Input Type]]),Devices[[#This Row],[Row Num]], " ")</f>
        <v xml:space="preserve"> </v>
      </c>
      <c r="AB42" s="245" t="str">
        <f>IF(OR($AN$20=Devices[[#This Row],[Input Type]], 0=Devices[[#This Row],[Input Type]]),Devices[[#This Row],[Row Num]], " ")</f>
        <v xml:space="preserve"> </v>
      </c>
      <c r="AC42" s="245" t="str">
        <f>IF(0=Devices[[#This Row],[Input Type]], Devices[[#This Row],[Row Num]], " ")</f>
        <v xml:space="preserve"> </v>
      </c>
      <c r="AD42" s="245">
        <f>IFERROR(SMALL(Devices[Row Sel D], Devices[[#This Row],[Row Num]]), " ")</f>
        <v>48</v>
      </c>
      <c r="AE42" s="245">
        <f>IFERROR(SMALL(Devices[Row Sel IntRdiv], Devices[[#This Row],[Row Num]]), " ")</f>
        <v>120</v>
      </c>
      <c r="AF42" s="245">
        <f>IFERROR(SMALL(Devices[Row Sel SE], Devices[[#This Row],[Row Num]]), " ")</f>
        <v>101</v>
      </c>
      <c r="AG42" s="245">
        <f>IFERROR(SMALL(Devices[Row Sel N], Devices[[#This Row],[Row Num]]), " ")</f>
        <v>124</v>
      </c>
      <c r="AH42" s="245" t="str">
        <f>IFERROR(INDEX(Devices[Part], Devices[[#This Row],[Sel D]], 1), "")</f>
        <v>AMC0330D</v>
      </c>
      <c r="AI42" s="245">
        <f>IFERROR(INDEX(Devices[Part], Devices[[#This Row],[Sel IntRdiv]], 1), "")</f>
        <v>0</v>
      </c>
      <c r="AJ42" s="245">
        <f>IFERROR(INDEX(Devices[Part], Devices[[#This Row],[Sel SE]], 1), "")</f>
        <v>0</v>
      </c>
      <c r="AK42" s="245">
        <f>IFERROR(INDEX(Devices[Part], Devices[[#This Row],[Sel N]], 1), "")</f>
        <v>0</v>
      </c>
      <c r="AM42" s="246"/>
    </row>
    <row r="43" spans="1:39" ht="15" customHeight="1">
      <c r="A43" s="281" t="s">
        <v>506</v>
      </c>
      <c r="B43" s="241" t="s">
        <v>51</v>
      </c>
      <c r="C43" s="352" t="s">
        <v>51</v>
      </c>
      <c r="D43" s="249">
        <v>4.0000000000000002E-4</v>
      </c>
      <c r="E43" s="249">
        <v>2E-3</v>
      </c>
      <c r="F43" s="250">
        <v>5</v>
      </c>
      <c r="G43" s="250">
        <v>45</v>
      </c>
      <c r="H43" s="398">
        <v>4.0000000000000001E-3</v>
      </c>
      <c r="I43" s="398">
        <v>0.05</v>
      </c>
      <c r="J43" s="252">
        <v>0.1</v>
      </c>
      <c r="K43" s="252">
        <v>0.9</v>
      </c>
      <c r="L43" s="249">
        <v>1.2999999999999999E-4</v>
      </c>
      <c r="M43" s="249">
        <v>4.0000000000000002E-4</v>
      </c>
      <c r="N43" s="250">
        <v>1</v>
      </c>
      <c r="O43" s="250">
        <v>3</v>
      </c>
      <c r="P43" s="276">
        <v>50</v>
      </c>
      <c r="Q43" s="399">
        <v>2.0499999999999998</v>
      </c>
      <c r="R43" s="277">
        <v>-40</v>
      </c>
      <c r="S43" s="277">
        <v>125</v>
      </c>
      <c r="T43" s="256"/>
      <c r="U43" s="256">
        <v>6300</v>
      </c>
      <c r="V43" s="278">
        <v>6300</v>
      </c>
      <c r="W43" s="435">
        <v>41</v>
      </c>
      <c r="X43" s="310">
        <v>0</v>
      </c>
      <c r="Y43" s="245">
        <f t="shared" si="4"/>
        <v>37</v>
      </c>
      <c r="Z43" s="245">
        <f>IF(OR($AN$18=Devices[[#This Row],[Input Type]], 0=Devices[[#This Row],[Input Type]]),Devices[[#This Row],[Row Num]], " ")</f>
        <v>37</v>
      </c>
      <c r="AA43" s="245" t="str">
        <f>IF(OR($AN$19=Devices[[#This Row],[Input Type]], 0=Devices[[#This Row],[Input Type]]),Devices[[#This Row],[Row Num]], " ")</f>
        <v xml:space="preserve"> </v>
      </c>
      <c r="AB43" s="245" t="str">
        <f>IF(OR($AN$20=Devices[[#This Row],[Input Type]], 0=Devices[[#This Row],[Input Type]]),Devices[[#This Row],[Row Num]], " ")</f>
        <v xml:space="preserve"> </v>
      </c>
      <c r="AC43" s="245" t="str">
        <f>IF(0=Devices[[#This Row],[Input Type]], Devices[[#This Row],[Row Num]], " ")</f>
        <v xml:space="preserve"> </v>
      </c>
      <c r="AD43" s="245">
        <f>IFERROR(SMALL(Devices[Row Sel D], Devices[[#This Row],[Row Num]]), " ")</f>
        <v>49</v>
      </c>
      <c r="AE43" s="245">
        <f>IFERROR(SMALL(Devices[Row Sel IntRdiv], Devices[[#This Row],[Row Num]]), " ")</f>
        <v>121</v>
      </c>
      <c r="AF43" s="245">
        <f>IFERROR(SMALL(Devices[Row Sel SE], Devices[[#This Row],[Row Num]]), " ")</f>
        <v>102</v>
      </c>
      <c r="AG43" s="245">
        <f>IFERROR(SMALL(Devices[Row Sel N], Devices[[#This Row],[Row Num]]), " ")</f>
        <v>125</v>
      </c>
      <c r="AH43" s="245" t="str">
        <f>IFERROR(INDEX(Devices[Part], Devices[[#This Row],[Sel D]], 1), "")</f>
        <v>AMC0330D-Q1</v>
      </c>
      <c r="AI43" s="245">
        <f>IFERROR(INDEX(Devices[Part], Devices[[#This Row],[Sel IntRdiv]], 1), "")</f>
        <v>0</v>
      </c>
      <c r="AJ43" s="245">
        <f>IFERROR(INDEX(Devices[Part], Devices[[#This Row],[Sel SE]], 1), "")</f>
        <v>0</v>
      </c>
      <c r="AK43" s="245">
        <f>IFERROR(INDEX(Devices[Part], Devices[[#This Row],[Sel N]], 1), "")</f>
        <v>0</v>
      </c>
      <c r="AM43" s="246"/>
    </row>
    <row r="44" spans="1:39" ht="15" customHeight="1">
      <c r="A44" s="281" t="s">
        <v>507</v>
      </c>
      <c r="B44" s="241" t="s">
        <v>51</v>
      </c>
      <c r="C44" s="352" t="s">
        <v>455</v>
      </c>
      <c r="D44" s="249">
        <v>4.0000000000000002E-4</v>
      </c>
      <c r="E44" s="249">
        <v>2E-3</v>
      </c>
      <c r="F44" s="250">
        <v>5</v>
      </c>
      <c r="G44" s="250">
        <v>45</v>
      </c>
      <c r="H44" s="398">
        <v>4.0000000000000001E-3</v>
      </c>
      <c r="I44" s="398">
        <v>0.05</v>
      </c>
      <c r="J44" s="252">
        <v>0.15</v>
      </c>
      <c r="K44" s="252">
        <v>1</v>
      </c>
      <c r="L44" s="249">
        <v>1.3300000000000001E-4</v>
      </c>
      <c r="M44" s="249">
        <v>4.0000000000000002E-4</v>
      </c>
      <c r="N44" s="250">
        <v>1</v>
      </c>
      <c r="O44" s="250">
        <v>3</v>
      </c>
      <c r="P44" s="276">
        <v>50</v>
      </c>
      <c r="Q44" s="399">
        <v>3.3</v>
      </c>
      <c r="R44" s="277">
        <v>-40</v>
      </c>
      <c r="S44" s="277">
        <v>125</v>
      </c>
      <c r="T44" s="256"/>
      <c r="U44" s="256">
        <v>6300</v>
      </c>
      <c r="V44" s="278">
        <v>6300</v>
      </c>
      <c r="W44" s="435">
        <v>66</v>
      </c>
      <c r="X44" s="310">
        <v>0</v>
      </c>
      <c r="Y44" s="245">
        <f t="shared" si="4"/>
        <v>38</v>
      </c>
      <c r="Z44" s="245">
        <f>IF(OR($AN$18=Devices[[#This Row],[Input Type]], 0=Devices[[#This Row],[Input Type]]),Devices[[#This Row],[Row Num]], " ")</f>
        <v>38</v>
      </c>
      <c r="AA44" s="245" t="str">
        <f>IF(OR($AN$19=Devices[[#This Row],[Input Type]], 0=Devices[[#This Row],[Input Type]]),Devices[[#This Row],[Row Num]], " ")</f>
        <v xml:space="preserve"> </v>
      </c>
      <c r="AB44" s="245" t="str">
        <f>IF(OR($AN$20=Devices[[#This Row],[Input Type]], 0=Devices[[#This Row],[Input Type]]),Devices[[#This Row],[Row Num]], " ")</f>
        <v xml:space="preserve"> </v>
      </c>
      <c r="AC44" s="245" t="str">
        <f>IF(0=Devices[[#This Row],[Input Type]], Devices[[#This Row],[Row Num]], " ")</f>
        <v xml:space="preserve"> </v>
      </c>
      <c r="AD44" s="245">
        <f>IFERROR(SMALL(Devices[Row Sel D], Devices[[#This Row],[Row Num]]), " ")</f>
        <v>50</v>
      </c>
      <c r="AE44" s="245">
        <f>IFERROR(SMALL(Devices[Row Sel IntRdiv], Devices[[#This Row],[Row Num]]), " ")</f>
        <v>122</v>
      </c>
      <c r="AF44" s="245">
        <f>IFERROR(SMALL(Devices[Row Sel SE], Devices[[#This Row],[Row Num]]), " ")</f>
        <v>103</v>
      </c>
      <c r="AG44" s="245">
        <f>IFERROR(SMALL(Devices[Row Sel N], Devices[[#This Row],[Row Num]]), " ")</f>
        <v>126</v>
      </c>
      <c r="AH44" s="245" t="str">
        <f>IFERROR(INDEX(Devices[Part], Devices[[#This Row],[Sel D]], 1), "")</f>
        <v>AMC0330R (Vref = 3.3V)</v>
      </c>
      <c r="AI44" s="245">
        <f>IFERROR(INDEX(Devices[Part], Devices[[#This Row],[Sel IntRdiv]], 1), "")</f>
        <v>0</v>
      </c>
      <c r="AJ44" s="245">
        <f>IFERROR(INDEX(Devices[Part], Devices[[#This Row],[Sel SE]], 1), "")</f>
        <v>0</v>
      </c>
      <c r="AK44" s="245">
        <f>IFERROR(INDEX(Devices[Part], Devices[[#This Row],[Sel N]], 1), "")</f>
        <v>0</v>
      </c>
      <c r="AM44" s="246"/>
    </row>
    <row r="45" spans="1:39" ht="15" customHeight="1">
      <c r="A45" s="281" t="s">
        <v>508</v>
      </c>
      <c r="B45" s="241" t="s">
        <v>51</v>
      </c>
      <c r="C45" s="352" t="s">
        <v>455</v>
      </c>
      <c r="D45" s="249">
        <v>4.0000000000000002E-4</v>
      </c>
      <c r="E45" s="249">
        <v>2E-3</v>
      </c>
      <c r="F45" s="250">
        <v>5</v>
      </c>
      <c r="G45" s="250">
        <v>45</v>
      </c>
      <c r="H45" s="398">
        <v>4.0000000000000001E-3</v>
      </c>
      <c r="I45" s="398">
        <v>0.05</v>
      </c>
      <c r="J45" s="252">
        <v>0.15</v>
      </c>
      <c r="K45" s="252">
        <v>1</v>
      </c>
      <c r="L45" s="249">
        <v>1.3300000000000001E-4</v>
      </c>
      <c r="M45" s="249">
        <v>4.0000000000000002E-4</v>
      </c>
      <c r="N45" s="250">
        <v>1</v>
      </c>
      <c r="O45" s="250">
        <v>3</v>
      </c>
      <c r="P45" s="276">
        <v>50</v>
      </c>
      <c r="Q45" s="399">
        <v>5</v>
      </c>
      <c r="R45" s="277">
        <v>-40</v>
      </c>
      <c r="S45" s="277">
        <v>125</v>
      </c>
      <c r="T45" s="256"/>
      <c r="U45" s="256">
        <v>6300</v>
      </c>
      <c r="V45" s="278">
        <v>6300</v>
      </c>
      <c r="W45" s="435">
        <v>100</v>
      </c>
      <c r="X45" s="310">
        <v>0</v>
      </c>
      <c r="Y45" s="245">
        <f t="shared" si="4"/>
        <v>39</v>
      </c>
      <c r="Z45" s="245">
        <f>IF(OR($AN$18=Devices[[#This Row],[Input Type]], 0=Devices[[#This Row],[Input Type]]),Devices[[#This Row],[Row Num]], " ")</f>
        <v>39</v>
      </c>
      <c r="AA45" s="245" t="str">
        <f>IF(OR($AN$19=Devices[[#This Row],[Input Type]], 0=Devices[[#This Row],[Input Type]]),Devices[[#This Row],[Row Num]], " ")</f>
        <v xml:space="preserve"> </v>
      </c>
      <c r="AB45" s="245" t="str">
        <f>IF(OR($AN$20=Devices[[#This Row],[Input Type]], 0=Devices[[#This Row],[Input Type]]),Devices[[#This Row],[Row Num]], " ")</f>
        <v xml:space="preserve"> </v>
      </c>
      <c r="AC45" s="245" t="str">
        <f>IF(0=Devices[[#This Row],[Input Type]], Devices[[#This Row],[Row Num]], " ")</f>
        <v xml:space="preserve"> </v>
      </c>
      <c r="AD45" s="245">
        <f>IFERROR(SMALL(Devices[Row Sel D], Devices[[#This Row],[Row Num]]), " ")</f>
        <v>51</v>
      </c>
      <c r="AE45" s="245">
        <f>IFERROR(SMALL(Devices[Row Sel IntRdiv], Devices[[#This Row],[Row Num]]), " ")</f>
        <v>123</v>
      </c>
      <c r="AF45" s="245">
        <f>IFERROR(SMALL(Devices[Row Sel SE], Devices[[#This Row],[Row Num]]), " ")</f>
        <v>104</v>
      </c>
      <c r="AG45" s="245">
        <f>IFERROR(SMALL(Devices[Row Sel N], Devices[[#This Row],[Row Num]]), " ")</f>
        <v>127</v>
      </c>
      <c r="AH45" s="245" t="str">
        <f>IFERROR(INDEX(Devices[Part], Devices[[#This Row],[Sel D]], 1), "")</f>
        <v>AMC0330R (Vref = 5V)</v>
      </c>
      <c r="AI45" s="245">
        <f>IFERROR(INDEX(Devices[Part], Devices[[#This Row],[Sel IntRdiv]], 1), "")</f>
        <v>0</v>
      </c>
      <c r="AJ45" s="245">
        <f>IFERROR(INDEX(Devices[Part], Devices[[#This Row],[Sel SE]], 1), "")</f>
        <v>0</v>
      </c>
      <c r="AK45" s="245">
        <f>IFERROR(INDEX(Devices[Part], Devices[[#This Row],[Sel N]], 1), "")</f>
        <v>0</v>
      </c>
      <c r="AM45" s="246"/>
    </row>
    <row r="46" spans="1:39" ht="15" customHeight="1">
      <c r="A46" s="281" t="s">
        <v>509</v>
      </c>
      <c r="B46" s="241" t="s">
        <v>51</v>
      </c>
      <c r="C46" s="352" t="s">
        <v>455</v>
      </c>
      <c r="D46" s="249">
        <v>4.0000000000000002E-4</v>
      </c>
      <c r="E46" s="249">
        <v>2E-3</v>
      </c>
      <c r="F46" s="250">
        <v>5</v>
      </c>
      <c r="G46" s="250">
        <v>45</v>
      </c>
      <c r="H46" s="398">
        <v>4.0000000000000001E-3</v>
      </c>
      <c r="I46" s="398">
        <v>0.05</v>
      </c>
      <c r="J46" s="252">
        <v>0.15</v>
      </c>
      <c r="K46" s="252">
        <v>1</v>
      </c>
      <c r="L46" s="249">
        <v>1.3300000000000001E-4</v>
      </c>
      <c r="M46" s="249">
        <v>4.0000000000000002E-4</v>
      </c>
      <c r="N46" s="250">
        <v>1</v>
      </c>
      <c r="O46" s="250">
        <v>3</v>
      </c>
      <c r="P46" s="276">
        <v>50</v>
      </c>
      <c r="Q46" s="399">
        <v>3.3</v>
      </c>
      <c r="R46" s="277">
        <v>-40</v>
      </c>
      <c r="S46" s="277">
        <v>125</v>
      </c>
      <c r="T46" s="256"/>
      <c r="U46" s="256">
        <v>6300</v>
      </c>
      <c r="V46" s="278">
        <v>6300</v>
      </c>
      <c r="W46" s="435">
        <v>66</v>
      </c>
      <c r="X46" s="310">
        <v>0</v>
      </c>
      <c r="Y46" s="245">
        <f t="shared" si="4"/>
        <v>40</v>
      </c>
      <c r="Z46" s="245">
        <f>IF(OR($AN$18=Devices[[#This Row],[Input Type]], 0=Devices[[#This Row],[Input Type]]),Devices[[#This Row],[Row Num]], " ")</f>
        <v>40</v>
      </c>
      <c r="AA46" s="245" t="str">
        <f>IF(OR($AN$19=Devices[[#This Row],[Input Type]], 0=Devices[[#This Row],[Input Type]]),Devices[[#This Row],[Row Num]], " ")</f>
        <v xml:space="preserve"> </v>
      </c>
      <c r="AB46" s="245" t="str">
        <f>IF(OR($AN$20=Devices[[#This Row],[Input Type]], 0=Devices[[#This Row],[Input Type]]),Devices[[#This Row],[Row Num]], " ")</f>
        <v xml:space="preserve"> </v>
      </c>
      <c r="AC46" s="245" t="str">
        <f>IF(0=Devices[[#This Row],[Input Type]], Devices[[#This Row],[Row Num]], " ")</f>
        <v xml:space="preserve"> </v>
      </c>
      <c r="AD46" s="245">
        <f>IFERROR(SMALL(Devices[Row Sel D], Devices[[#This Row],[Row Num]]), " ")</f>
        <v>52</v>
      </c>
      <c r="AE46" s="245">
        <f>IFERROR(SMALL(Devices[Row Sel IntRdiv], Devices[[#This Row],[Row Num]]), " ")</f>
        <v>124</v>
      </c>
      <c r="AF46" s="245">
        <f>IFERROR(SMALL(Devices[Row Sel SE], Devices[[#This Row],[Row Num]]), " ")</f>
        <v>105</v>
      </c>
      <c r="AG46" s="245" t="str">
        <f>IFERROR(SMALL(Devices[Row Sel N], Devices[[#This Row],[Row Num]]), " ")</f>
        <v xml:space="preserve"> </v>
      </c>
      <c r="AH46" s="245" t="str">
        <f>IFERROR(INDEX(Devices[Part], Devices[[#This Row],[Sel D]], 1), "")</f>
        <v>AMC0330R-Q1 (Vref = 3.3V)</v>
      </c>
      <c r="AI46" s="245">
        <f>IFERROR(INDEX(Devices[Part], Devices[[#This Row],[Sel IntRdiv]], 1), "")</f>
        <v>0</v>
      </c>
      <c r="AJ46" s="245">
        <f>IFERROR(INDEX(Devices[Part], Devices[[#This Row],[Sel SE]], 1), "")</f>
        <v>0</v>
      </c>
      <c r="AK46" s="245" t="str">
        <f>IFERROR(INDEX(Devices[Part], Devices[[#This Row],[Sel N]], 1), "")</f>
        <v/>
      </c>
      <c r="AM46" s="246"/>
    </row>
    <row r="47" spans="1:39" ht="15" customHeight="1">
      <c r="A47" s="281" t="s">
        <v>510</v>
      </c>
      <c r="B47" s="241" t="s">
        <v>51</v>
      </c>
      <c r="C47" s="352" t="s">
        <v>455</v>
      </c>
      <c r="D47" s="249">
        <v>4.0000000000000002E-4</v>
      </c>
      <c r="E47" s="249">
        <v>2E-3</v>
      </c>
      <c r="F47" s="250">
        <v>5</v>
      </c>
      <c r="G47" s="250">
        <v>45</v>
      </c>
      <c r="H47" s="398">
        <v>4.0000000000000001E-3</v>
      </c>
      <c r="I47" s="398">
        <v>0.05</v>
      </c>
      <c r="J47" s="252">
        <v>0.15</v>
      </c>
      <c r="K47" s="252">
        <v>1</v>
      </c>
      <c r="L47" s="249">
        <v>1.3300000000000001E-4</v>
      </c>
      <c r="M47" s="249">
        <v>4.0000000000000002E-4</v>
      </c>
      <c r="N47" s="250">
        <v>1</v>
      </c>
      <c r="O47" s="250">
        <v>3</v>
      </c>
      <c r="P47" s="276">
        <v>50</v>
      </c>
      <c r="Q47" s="399">
        <v>5</v>
      </c>
      <c r="R47" s="277">
        <v>-40</v>
      </c>
      <c r="S47" s="277">
        <v>125</v>
      </c>
      <c r="T47" s="256"/>
      <c r="U47" s="256">
        <v>6300</v>
      </c>
      <c r="V47" s="278">
        <v>6300</v>
      </c>
      <c r="W47" s="435">
        <v>100</v>
      </c>
      <c r="X47" s="310">
        <v>0</v>
      </c>
      <c r="Y47" s="245">
        <f t="shared" ref="Y47:Y55" si="5">ROW()-6</f>
        <v>41</v>
      </c>
      <c r="Z47" s="245">
        <f>IF(OR($AN$18=Devices[[#This Row],[Input Type]], 0=Devices[[#This Row],[Input Type]]),Devices[[#This Row],[Row Num]], " ")</f>
        <v>41</v>
      </c>
      <c r="AA47" s="245" t="str">
        <f>IF(OR($AN$19=Devices[[#This Row],[Input Type]], 0=Devices[[#This Row],[Input Type]]),Devices[[#This Row],[Row Num]], " ")</f>
        <v xml:space="preserve"> </v>
      </c>
      <c r="AB47" s="245" t="str">
        <f>IF(OR($AN$20=Devices[[#This Row],[Input Type]], 0=Devices[[#This Row],[Input Type]]),Devices[[#This Row],[Row Num]], " ")</f>
        <v xml:space="preserve"> </v>
      </c>
      <c r="AC47" s="245" t="str">
        <f>IF(0=Devices[[#This Row],[Input Type]], Devices[[#This Row],[Row Num]], " ")</f>
        <v xml:space="preserve"> </v>
      </c>
      <c r="AD47" s="245">
        <f>IFERROR(SMALL(Devices[Row Sel D], Devices[[#This Row],[Row Num]]), " ")</f>
        <v>53</v>
      </c>
      <c r="AE47" s="245">
        <f>IFERROR(SMALL(Devices[Row Sel IntRdiv], Devices[[#This Row],[Row Num]]), " ")</f>
        <v>125</v>
      </c>
      <c r="AF47" s="245">
        <f>IFERROR(SMALL(Devices[Row Sel SE], Devices[[#This Row],[Row Num]]), " ")</f>
        <v>106</v>
      </c>
      <c r="AG47" s="245" t="str">
        <f>IFERROR(SMALL(Devices[Row Sel N], Devices[[#This Row],[Row Num]]), " ")</f>
        <v xml:space="preserve"> </v>
      </c>
      <c r="AH47" s="245" t="str">
        <f>IFERROR(INDEX(Devices[Part], Devices[[#This Row],[Sel D]], 1), "")</f>
        <v>AMC0330R-Q1 (Vref = 5V)</v>
      </c>
      <c r="AI47" s="245">
        <f>IFERROR(INDEX(Devices[Part], Devices[[#This Row],[Sel IntRdiv]], 1), "")</f>
        <v>0</v>
      </c>
      <c r="AJ47" s="245">
        <f>IFERROR(INDEX(Devices[Part], Devices[[#This Row],[Sel SE]], 1), "")</f>
        <v>0</v>
      </c>
      <c r="AK47" s="245" t="str">
        <f>IFERROR(INDEX(Devices[Part], Devices[[#This Row],[Sel N]], 1), "")</f>
        <v/>
      </c>
      <c r="AM47" s="246"/>
    </row>
    <row r="48" spans="1:39" ht="15" customHeight="1">
      <c r="A48" s="281" t="s">
        <v>452</v>
      </c>
      <c r="B48" s="241" t="s">
        <v>52</v>
      </c>
      <c r="C48" s="352" t="s">
        <v>51</v>
      </c>
      <c r="D48" s="249">
        <v>4.0000000000000002E-4</v>
      </c>
      <c r="E48" s="249">
        <v>2.5000000000000001E-3</v>
      </c>
      <c r="F48" s="250">
        <v>5</v>
      </c>
      <c r="G48" s="250">
        <v>50</v>
      </c>
      <c r="H48" s="398">
        <v>0.1</v>
      </c>
      <c r="I48" s="398">
        <v>0.8</v>
      </c>
      <c r="J48" s="252">
        <v>1</v>
      </c>
      <c r="K48" s="252">
        <v>10</v>
      </c>
      <c r="L48" s="400">
        <v>2.0000000000000002E-5</v>
      </c>
      <c r="M48" s="400">
        <v>3.5E-4</v>
      </c>
      <c r="N48" s="250">
        <v>1</v>
      </c>
      <c r="O48" s="250">
        <v>3</v>
      </c>
      <c r="P48" s="276">
        <v>2000</v>
      </c>
      <c r="Q48" s="399">
        <v>2</v>
      </c>
      <c r="R48" s="277">
        <v>-40</v>
      </c>
      <c r="S48" s="277">
        <v>125</v>
      </c>
      <c r="T48" s="256"/>
      <c r="U48" s="256">
        <v>2400000000</v>
      </c>
      <c r="V48" s="278">
        <v>2400000000</v>
      </c>
      <c r="W48" s="435">
        <v>1</v>
      </c>
      <c r="X48" s="401">
        <v>3.0000000000000001E-3</v>
      </c>
      <c r="Y48" s="245">
        <f t="shared" si="5"/>
        <v>42</v>
      </c>
      <c r="Z48" s="245" t="str">
        <f>IF(OR($AN$18=Devices[[#This Row],[Input Type]], 0=Devices[[#This Row],[Input Type]]),Devices[[#This Row],[Row Num]], " ")</f>
        <v xml:space="preserve"> </v>
      </c>
      <c r="AA48" s="245" t="str">
        <f>IF(OR($AN$19=Devices[[#This Row],[Input Type]], 0=Devices[[#This Row],[Input Type]]),Devices[[#This Row],[Row Num]], " ")</f>
        <v xml:space="preserve"> </v>
      </c>
      <c r="AB48" s="245">
        <f>IF(OR($AN$20=Devices[[#This Row],[Input Type]], 0=Devices[[#This Row],[Input Type]]),Devices[[#This Row],[Row Num]], " ")</f>
        <v>42</v>
      </c>
      <c r="AC48" s="245" t="str">
        <f>IF(0=Devices[[#This Row],[Input Type]], Devices[[#This Row],[Row Num]], " ")</f>
        <v xml:space="preserve"> </v>
      </c>
      <c r="AD48" s="245">
        <f>IFERROR(SMALL(Devices[Row Sel D], Devices[[#This Row],[Row Num]]), " ")</f>
        <v>54</v>
      </c>
      <c r="AE48" s="245">
        <f>IFERROR(SMALL(Devices[Row Sel IntRdiv], Devices[[#This Row],[Row Num]]), " ")</f>
        <v>126</v>
      </c>
      <c r="AF48" s="245">
        <f>IFERROR(SMALL(Devices[Row Sel SE], Devices[[#This Row],[Row Num]]), " ")</f>
        <v>107</v>
      </c>
      <c r="AG48" s="245" t="str">
        <f>IFERROR(SMALL(Devices[Row Sel N], Devices[[#This Row],[Row Num]]), " ")</f>
        <v xml:space="preserve"> </v>
      </c>
      <c r="AH48" s="245" t="str">
        <f>IFERROR(INDEX(Devices[Part], Devices[[#This Row],[Sel D]], 1), "")</f>
        <v>AMC0330S</v>
      </c>
      <c r="AI48" s="245">
        <f>IFERROR(INDEX(Devices[Part], Devices[[#This Row],[Sel IntRdiv]], 1), "")</f>
        <v>0</v>
      </c>
      <c r="AJ48" s="245">
        <f>IFERROR(INDEX(Devices[Part], Devices[[#This Row],[Sel SE]], 1), "")</f>
        <v>0</v>
      </c>
      <c r="AK48" s="245" t="str">
        <f>IFERROR(INDEX(Devices[Part], Devices[[#This Row],[Sel N]], 1), "")</f>
        <v/>
      </c>
      <c r="AM48" s="246"/>
    </row>
    <row r="49" spans="1:39" ht="15" customHeight="1">
      <c r="A49" s="281" t="s">
        <v>453</v>
      </c>
      <c r="B49" s="241" t="s">
        <v>52</v>
      </c>
      <c r="C49" s="352" t="s">
        <v>51</v>
      </c>
      <c r="D49" s="249">
        <v>4.0000000000000002E-4</v>
      </c>
      <c r="E49" s="249">
        <v>2.5000000000000001E-3</v>
      </c>
      <c r="F49" s="250">
        <v>5</v>
      </c>
      <c r="G49" s="250">
        <v>50</v>
      </c>
      <c r="H49" s="398">
        <v>0.1</v>
      </c>
      <c r="I49" s="398">
        <v>0.8</v>
      </c>
      <c r="J49" s="252">
        <v>1</v>
      </c>
      <c r="K49" s="252">
        <v>10</v>
      </c>
      <c r="L49" s="400">
        <v>2.0000000000000002E-5</v>
      </c>
      <c r="M49" s="400">
        <v>3.5E-4</v>
      </c>
      <c r="N49" s="250">
        <v>1</v>
      </c>
      <c r="O49" s="250">
        <v>3</v>
      </c>
      <c r="P49" s="276">
        <v>2000</v>
      </c>
      <c r="Q49" s="399">
        <v>2</v>
      </c>
      <c r="R49" s="277">
        <v>-40</v>
      </c>
      <c r="S49" s="277">
        <v>125</v>
      </c>
      <c r="T49" s="256"/>
      <c r="U49" s="256">
        <v>2400000000</v>
      </c>
      <c r="V49" s="278">
        <v>2400000000</v>
      </c>
      <c r="W49" s="435">
        <v>1</v>
      </c>
      <c r="X49" s="401">
        <v>3.0000000000000001E-3</v>
      </c>
      <c r="Y49" s="245">
        <f t="shared" si="5"/>
        <v>43</v>
      </c>
      <c r="Z49" s="245" t="str">
        <f>IF(OR($AN$18=Devices[[#This Row],[Input Type]], 0=Devices[[#This Row],[Input Type]]),Devices[[#This Row],[Row Num]], " ")</f>
        <v xml:space="preserve"> </v>
      </c>
      <c r="AA49" s="245" t="str">
        <f>IF(OR($AN$19=Devices[[#This Row],[Input Type]], 0=Devices[[#This Row],[Input Type]]),Devices[[#This Row],[Row Num]], " ")</f>
        <v xml:space="preserve"> </v>
      </c>
      <c r="AB49" s="245">
        <f>IF(OR($AN$20=Devices[[#This Row],[Input Type]], 0=Devices[[#This Row],[Input Type]]),Devices[[#This Row],[Row Num]], " ")</f>
        <v>43</v>
      </c>
      <c r="AC49" s="245" t="str">
        <f>IF(0=Devices[[#This Row],[Input Type]], Devices[[#This Row],[Row Num]], " ")</f>
        <v xml:space="preserve"> </v>
      </c>
      <c r="AD49" s="245">
        <f>IFERROR(SMALL(Devices[Row Sel D], Devices[[#This Row],[Row Num]]), " ")</f>
        <v>55</v>
      </c>
      <c r="AE49" s="245">
        <f>IFERROR(SMALL(Devices[Row Sel IntRdiv], Devices[[#This Row],[Row Num]]), " ")</f>
        <v>127</v>
      </c>
      <c r="AF49" s="245">
        <f>IFERROR(SMALL(Devices[Row Sel SE], Devices[[#This Row],[Row Num]]), " ")</f>
        <v>108</v>
      </c>
      <c r="AG49" s="245" t="str">
        <f>IFERROR(SMALL(Devices[Row Sel N], Devices[[#This Row],[Row Num]]), " ")</f>
        <v xml:space="preserve"> </v>
      </c>
      <c r="AH49" s="245" t="str">
        <f>IFERROR(INDEX(Devices[Part], Devices[[#This Row],[Sel D]], 1), "")</f>
        <v>AMC0330S-Q1</v>
      </c>
      <c r="AI49" s="245">
        <f>IFERROR(INDEX(Devices[Part], Devices[[#This Row],[Sel IntRdiv]], 1), "")</f>
        <v>0</v>
      </c>
      <c r="AJ49" s="245">
        <f>IFERROR(INDEX(Devices[Part], Devices[[#This Row],[Sel SE]], 1), "")</f>
        <v>0</v>
      </c>
      <c r="AK49" s="245" t="str">
        <f>IFERROR(INDEX(Devices[Part], Devices[[#This Row],[Sel N]], 1), "")</f>
        <v/>
      </c>
      <c r="AM49" s="246"/>
    </row>
    <row r="50" spans="1:39" ht="15" customHeight="1">
      <c r="A50" s="281" t="s">
        <v>454</v>
      </c>
      <c r="B50" s="241" t="s">
        <v>52</v>
      </c>
      <c r="C50" s="352" t="s">
        <v>455</v>
      </c>
      <c r="D50" s="249">
        <v>4.0000000000000002E-4</v>
      </c>
      <c r="E50" s="249">
        <v>2.5000000000000001E-3</v>
      </c>
      <c r="F50" s="250">
        <v>5</v>
      </c>
      <c r="G50" s="250">
        <v>40</v>
      </c>
      <c r="H50" s="398">
        <v>0.15</v>
      </c>
      <c r="I50" s="398">
        <v>1.5</v>
      </c>
      <c r="J50" s="252">
        <v>3</v>
      </c>
      <c r="K50" s="252">
        <v>30</v>
      </c>
      <c r="L50" s="400">
        <v>2.0000000000000002E-5</v>
      </c>
      <c r="M50" s="272">
        <v>8.0000000000000004E-4</v>
      </c>
      <c r="N50" s="250">
        <v>1</v>
      </c>
      <c r="O50" s="250">
        <v>3</v>
      </c>
      <c r="P50" s="276">
        <v>2250</v>
      </c>
      <c r="Q50" s="399">
        <v>3.3</v>
      </c>
      <c r="R50" s="277">
        <v>-40</v>
      </c>
      <c r="S50" s="277">
        <v>125</v>
      </c>
      <c r="T50" s="256"/>
      <c r="U50" s="256">
        <v>2400000000</v>
      </c>
      <c r="V50" s="278">
        <v>2400000000</v>
      </c>
      <c r="W50" s="435">
        <f>3.3/2.56</f>
        <v>1.2890625</v>
      </c>
      <c r="X50" s="401">
        <v>3.0000000000000001E-3</v>
      </c>
      <c r="Y50" s="245">
        <f t="shared" si="5"/>
        <v>44</v>
      </c>
      <c r="Z50" s="245" t="str">
        <f>IF(OR($AN$18=Devices[[#This Row],[Input Type]], 0=Devices[[#This Row],[Input Type]]),Devices[[#This Row],[Row Num]], " ")</f>
        <v xml:space="preserve"> </v>
      </c>
      <c r="AA50" s="245" t="str">
        <f>IF(OR($AN$19=Devices[[#This Row],[Input Type]], 0=Devices[[#This Row],[Input Type]]),Devices[[#This Row],[Row Num]], " ")</f>
        <v xml:space="preserve"> </v>
      </c>
      <c r="AB50" s="245">
        <f>IF(OR($AN$20=Devices[[#This Row],[Input Type]], 0=Devices[[#This Row],[Input Type]]),Devices[[#This Row],[Row Num]], " ")</f>
        <v>44</v>
      </c>
      <c r="AC50" s="245" t="str">
        <f>IF(0=Devices[[#This Row],[Input Type]], Devices[[#This Row],[Row Num]], " ")</f>
        <v xml:space="preserve"> </v>
      </c>
      <c r="AD50" s="245">
        <f>IFERROR(SMALL(Devices[Row Sel D], Devices[[#This Row],[Row Num]]), " ")</f>
        <v>56</v>
      </c>
      <c r="AE50" s="245" t="str">
        <f>IFERROR(SMALL(Devices[Row Sel IntRdiv], Devices[[#This Row],[Row Num]]), " ")</f>
        <v xml:space="preserve"> </v>
      </c>
      <c r="AF50" s="245">
        <f>IFERROR(SMALL(Devices[Row Sel SE], Devices[[#This Row],[Row Num]]), " ")</f>
        <v>109</v>
      </c>
      <c r="AG50" s="245" t="str">
        <f>IFERROR(SMALL(Devices[Row Sel N], Devices[[#This Row],[Row Num]]), " ")</f>
        <v xml:space="preserve"> </v>
      </c>
      <c r="AH50" s="245" t="str">
        <f>IFERROR(INDEX(Devices[Part], Devices[[#This Row],[Sel D]], 1), "")</f>
        <v>AMC1200C</v>
      </c>
      <c r="AI50" s="245" t="str">
        <f>IFERROR(INDEX(Devices[Part], Devices[[#This Row],[Sel IntRdiv]], 1), "")</f>
        <v/>
      </c>
      <c r="AJ50" s="245">
        <f>IFERROR(INDEX(Devices[Part], Devices[[#This Row],[Sel SE]], 1), "")</f>
        <v>0</v>
      </c>
      <c r="AK50" s="245" t="str">
        <f>IFERROR(INDEX(Devices[Part], Devices[[#This Row],[Sel N]], 1), "")</f>
        <v/>
      </c>
      <c r="AM50" s="246"/>
    </row>
    <row r="51" spans="1:39" ht="15" customHeight="1">
      <c r="A51" s="281" t="s">
        <v>456</v>
      </c>
      <c r="B51" s="241" t="s">
        <v>52</v>
      </c>
      <c r="C51" s="352" t="s">
        <v>455</v>
      </c>
      <c r="D51" s="249">
        <v>4.0000000000000002E-4</v>
      </c>
      <c r="E51" s="249">
        <v>2.5000000000000001E-3</v>
      </c>
      <c r="F51" s="250">
        <v>5</v>
      </c>
      <c r="G51" s="250">
        <v>40</v>
      </c>
      <c r="H51" s="398">
        <v>0.15</v>
      </c>
      <c r="I51" s="398">
        <v>1.5</v>
      </c>
      <c r="J51" s="252">
        <v>3</v>
      </c>
      <c r="K51" s="252">
        <v>30</v>
      </c>
      <c r="L51" s="400">
        <v>2.0000000000000002E-5</v>
      </c>
      <c r="M51" s="272">
        <v>8.0000000000000004E-4</v>
      </c>
      <c r="N51" s="250">
        <v>1</v>
      </c>
      <c r="O51" s="250">
        <v>3</v>
      </c>
      <c r="P51" s="276">
        <v>2250</v>
      </c>
      <c r="Q51" s="399">
        <v>5</v>
      </c>
      <c r="R51" s="277">
        <v>-40</v>
      </c>
      <c r="S51" s="277">
        <v>125</v>
      </c>
      <c r="T51" s="256"/>
      <c r="U51" s="256">
        <v>2400000000</v>
      </c>
      <c r="V51" s="278">
        <v>2400000000</v>
      </c>
      <c r="W51" s="435">
        <v>2.5</v>
      </c>
      <c r="X51" s="401">
        <v>3.0000000000000001E-3</v>
      </c>
      <c r="Y51" s="245">
        <f t="shared" si="5"/>
        <v>45</v>
      </c>
      <c r="Z51" s="245" t="str">
        <f>IF(OR($AN$18=Devices[[#This Row],[Input Type]], 0=Devices[[#This Row],[Input Type]]),Devices[[#This Row],[Row Num]], " ")</f>
        <v xml:space="preserve"> </v>
      </c>
      <c r="AA51" s="245" t="str">
        <f>IF(OR($AN$19=Devices[[#This Row],[Input Type]], 0=Devices[[#This Row],[Input Type]]),Devices[[#This Row],[Row Num]], " ")</f>
        <v xml:space="preserve"> </v>
      </c>
      <c r="AB51" s="245">
        <f>IF(OR($AN$20=Devices[[#This Row],[Input Type]], 0=Devices[[#This Row],[Input Type]]),Devices[[#This Row],[Row Num]], " ")</f>
        <v>45</v>
      </c>
      <c r="AC51" s="245" t="str">
        <f>IF(0=Devices[[#This Row],[Input Type]], Devices[[#This Row],[Row Num]], " ")</f>
        <v xml:space="preserve"> </v>
      </c>
      <c r="AD51" s="245">
        <f>IFERROR(SMALL(Devices[Row Sel D], Devices[[#This Row],[Row Num]]), " ")</f>
        <v>57</v>
      </c>
      <c r="AE51" s="245" t="str">
        <f>IFERROR(SMALL(Devices[Row Sel IntRdiv], Devices[[#This Row],[Row Num]]), " ")</f>
        <v xml:space="preserve"> </v>
      </c>
      <c r="AF51" s="245">
        <f>IFERROR(SMALL(Devices[Row Sel SE], Devices[[#This Row],[Row Num]]), " ")</f>
        <v>110</v>
      </c>
      <c r="AG51" s="245" t="str">
        <f>IFERROR(SMALL(Devices[Row Sel N], Devices[[#This Row],[Row Num]]), " ")</f>
        <v xml:space="preserve"> </v>
      </c>
      <c r="AH51" s="245" t="str">
        <f>IFERROR(INDEX(Devices[Part], Devices[[#This Row],[Sel D]], 1), "")</f>
        <v>AMC1202</v>
      </c>
      <c r="AI51" s="245" t="str">
        <f>IFERROR(INDEX(Devices[Part], Devices[[#This Row],[Sel IntRdiv]], 1), "")</f>
        <v/>
      </c>
      <c r="AJ51" s="245">
        <f>IFERROR(INDEX(Devices[Part], Devices[[#This Row],[Sel SE]], 1), "")</f>
        <v>0</v>
      </c>
      <c r="AK51" s="245" t="str">
        <f>IFERROR(INDEX(Devices[Part], Devices[[#This Row],[Sel N]], 1), "")</f>
        <v/>
      </c>
      <c r="AM51" s="246"/>
    </row>
    <row r="52" spans="1:39" ht="15" customHeight="1">
      <c r="A52" s="281" t="s">
        <v>457</v>
      </c>
      <c r="B52" s="241" t="s">
        <v>52</v>
      </c>
      <c r="C52" s="352" t="s">
        <v>52</v>
      </c>
      <c r="D52" s="249">
        <v>4.0000000000000002E-4</v>
      </c>
      <c r="E52" s="249">
        <v>2.5000000000000001E-3</v>
      </c>
      <c r="F52" s="250">
        <v>5</v>
      </c>
      <c r="G52" s="250">
        <v>50</v>
      </c>
      <c r="H52" s="398">
        <v>0.15</v>
      </c>
      <c r="I52" s="398">
        <v>1</v>
      </c>
      <c r="J52" s="252">
        <v>3</v>
      </c>
      <c r="K52" s="252">
        <v>30</v>
      </c>
      <c r="L52" s="400">
        <v>2.0000000000000002E-5</v>
      </c>
      <c r="M52" s="249">
        <v>8.0000000000000004E-4</v>
      </c>
      <c r="N52" s="250">
        <v>1</v>
      </c>
      <c r="O52" s="250">
        <v>3</v>
      </c>
      <c r="P52" s="276">
        <v>2250</v>
      </c>
      <c r="Q52" s="399">
        <v>2.25</v>
      </c>
      <c r="R52" s="277">
        <v>-40</v>
      </c>
      <c r="S52" s="277">
        <v>125</v>
      </c>
      <c r="T52" s="256"/>
      <c r="U52" s="256">
        <v>2400000000</v>
      </c>
      <c r="V52" s="278">
        <v>2400000000</v>
      </c>
      <c r="W52" s="435">
        <v>1</v>
      </c>
      <c r="X52" s="401">
        <v>3.0000000000000001E-3</v>
      </c>
      <c r="Y52" s="245">
        <f t="shared" si="5"/>
        <v>46</v>
      </c>
      <c r="Z52" s="245" t="str">
        <f>IF(OR($AN$18=Devices[[#This Row],[Input Type]], 0=Devices[[#This Row],[Input Type]]),Devices[[#This Row],[Row Num]], " ")</f>
        <v xml:space="preserve"> </v>
      </c>
      <c r="AA52" s="245" t="str">
        <f>IF(OR($AN$19=Devices[[#This Row],[Input Type]], 0=Devices[[#This Row],[Input Type]]),Devices[[#This Row],[Row Num]], " ")</f>
        <v xml:space="preserve"> </v>
      </c>
      <c r="AB52" s="245">
        <f>IF(OR($AN$20=Devices[[#This Row],[Input Type]], 0=Devices[[#This Row],[Input Type]]),Devices[[#This Row],[Row Num]], " ")</f>
        <v>46</v>
      </c>
      <c r="AC52" s="245" t="str">
        <f>IF(0=Devices[[#This Row],[Input Type]], Devices[[#This Row],[Row Num]], " ")</f>
        <v xml:space="preserve"> </v>
      </c>
      <c r="AD52" s="245">
        <f>IFERROR(SMALL(Devices[Row Sel D], Devices[[#This Row],[Row Num]]), " ")</f>
        <v>59</v>
      </c>
      <c r="AE52" s="245" t="str">
        <f>IFERROR(SMALL(Devices[Row Sel IntRdiv], Devices[[#This Row],[Row Num]]), " ")</f>
        <v xml:space="preserve"> </v>
      </c>
      <c r="AF52" s="245">
        <f>IFERROR(SMALL(Devices[Row Sel SE], Devices[[#This Row],[Row Num]]), " ")</f>
        <v>111</v>
      </c>
      <c r="AG52" s="245" t="str">
        <f>IFERROR(SMALL(Devices[Row Sel N], Devices[[#This Row],[Row Num]]), " ")</f>
        <v xml:space="preserve"> </v>
      </c>
      <c r="AH52" s="245" t="str">
        <f>IFERROR(INDEX(Devices[Part], Devices[[#This Row],[Sel D]], 1), "")</f>
        <v>AMC1300</v>
      </c>
      <c r="AI52" s="245" t="str">
        <f>IFERROR(INDEX(Devices[Part], Devices[[#This Row],[Sel IntRdiv]], 1), "")</f>
        <v/>
      </c>
      <c r="AJ52" s="245">
        <f>IFERROR(INDEX(Devices[Part], Devices[[#This Row],[Sel SE]], 1), "")</f>
        <v>0</v>
      </c>
      <c r="AK52" s="245" t="str">
        <f>IFERROR(INDEX(Devices[Part], Devices[[#This Row],[Sel N]], 1), "")</f>
        <v/>
      </c>
      <c r="AM52" s="246"/>
    </row>
    <row r="53" spans="1:39" ht="15" customHeight="1">
      <c r="A53" s="281" t="s">
        <v>458</v>
      </c>
      <c r="B53" s="241" t="s">
        <v>52</v>
      </c>
      <c r="C53" s="352" t="s">
        <v>52</v>
      </c>
      <c r="D53" s="249">
        <v>4.0000000000000002E-4</v>
      </c>
      <c r="E53" s="249">
        <v>2.5000000000000001E-3</v>
      </c>
      <c r="F53" s="250">
        <v>5</v>
      </c>
      <c r="G53" s="250">
        <v>50</v>
      </c>
      <c r="H53" s="398">
        <v>0.15</v>
      </c>
      <c r="I53" s="398">
        <v>1</v>
      </c>
      <c r="J53" s="252">
        <v>3</v>
      </c>
      <c r="K53" s="252">
        <v>30</v>
      </c>
      <c r="L53" s="400">
        <v>2.0000000000000002E-5</v>
      </c>
      <c r="M53" s="249">
        <v>8.0000000000000004E-4</v>
      </c>
      <c r="N53" s="250">
        <v>1</v>
      </c>
      <c r="O53" s="250">
        <v>3</v>
      </c>
      <c r="P53" s="276">
        <v>2250</v>
      </c>
      <c r="Q53" s="399">
        <v>2.25</v>
      </c>
      <c r="R53" s="277">
        <v>-40</v>
      </c>
      <c r="S53" s="277">
        <v>125</v>
      </c>
      <c r="T53" s="256"/>
      <c r="U53" s="256">
        <v>2400000000</v>
      </c>
      <c r="V53" s="278">
        <v>2400000000</v>
      </c>
      <c r="W53" s="435">
        <v>1</v>
      </c>
      <c r="X53" s="401">
        <v>3.0000000000000001E-3</v>
      </c>
      <c r="Y53" s="245">
        <f t="shared" si="5"/>
        <v>47</v>
      </c>
      <c r="Z53" s="245" t="str">
        <f>IF(OR($AN$18=Devices[[#This Row],[Input Type]], 0=Devices[[#This Row],[Input Type]]),Devices[[#This Row],[Row Num]], " ")</f>
        <v xml:space="preserve"> </v>
      </c>
      <c r="AA53" s="245" t="str">
        <f>IF(OR($AN$19=Devices[[#This Row],[Input Type]], 0=Devices[[#This Row],[Input Type]]),Devices[[#This Row],[Row Num]], " ")</f>
        <v xml:space="preserve"> </v>
      </c>
      <c r="AB53" s="245">
        <f>IF(OR($AN$20=Devices[[#This Row],[Input Type]], 0=Devices[[#This Row],[Input Type]]),Devices[[#This Row],[Row Num]], " ")</f>
        <v>47</v>
      </c>
      <c r="AC53" s="245" t="str">
        <f>IF(0=Devices[[#This Row],[Input Type]], Devices[[#This Row],[Row Num]], " ")</f>
        <v xml:space="preserve"> </v>
      </c>
      <c r="AD53" s="245">
        <f>IFERROR(SMALL(Devices[Row Sel D], Devices[[#This Row],[Row Num]]), " ")</f>
        <v>60</v>
      </c>
      <c r="AE53" s="245" t="str">
        <f>IFERROR(SMALL(Devices[Row Sel IntRdiv], Devices[[#This Row],[Row Num]]), " ")</f>
        <v xml:space="preserve"> </v>
      </c>
      <c r="AF53" s="245">
        <f>IFERROR(SMALL(Devices[Row Sel SE], Devices[[#This Row],[Row Num]]), " ")</f>
        <v>112</v>
      </c>
      <c r="AG53" s="245" t="str">
        <f>IFERROR(SMALL(Devices[Row Sel N], Devices[[#This Row],[Row Num]]), " ")</f>
        <v xml:space="preserve"> </v>
      </c>
      <c r="AH53" s="245" t="str">
        <f>IFERROR(INDEX(Devices[Part], Devices[[#This Row],[Sel D]], 1), "")</f>
        <v>AMC1300B</v>
      </c>
      <c r="AI53" s="245" t="str">
        <f>IFERROR(INDEX(Devices[Part], Devices[[#This Row],[Sel IntRdiv]], 1), "")</f>
        <v/>
      </c>
      <c r="AJ53" s="245">
        <f>IFERROR(INDEX(Devices[Part], Devices[[#This Row],[Sel SE]], 1), "")</f>
        <v>0</v>
      </c>
      <c r="AK53" s="245" t="str">
        <f>IFERROR(INDEX(Devices[Part], Devices[[#This Row],[Sel N]], 1), "")</f>
        <v/>
      </c>
      <c r="AM53" s="246"/>
    </row>
    <row r="54" spans="1:39" ht="15" customHeight="1">
      <c r="A54" s="281" t="s">
        <v>511</v>
      </c>
      <c r="B54" s="241" t="s">
        <v>51</v>
      </c>
      <c r="C54" s="352" t="s">
        <v>51</v>
      </c>
      <c r="D54" s="249">
        <v>4.0000000000000002E-4</v>
      </c>
      <c r="E54" s="249">
        <v>2.5000000000000001E-3</v>
      </c>
      <c r="F54" s="250">
        <v>5</v>
      </c>
      <c r="G54" s="250">
        <v>40</v>
      </c>
      <c r="H54" s="398">
        <v>0.1</v>
      </c>
      <c r="I54" s="398">
        <v>0.8</v>
      </c>
      <c r="J54" s="252">
        <v>1</v>
      </c>
      <c r="K54" s="252">
        <v>10</v>
      </c>
      <c r="L54" s="249">
        <v>1E-4</v>
      </c>
      <c r="M54" s="249">
        <v>2.5000000000000001E-4</v>
      </c>
      <c r="N54" s="250">
        <v>1</v>
      </c>
      <c r="O54" s="250">
        <v>3</v>
      </c>
      <c r="P54" s="276">
        <v>1000</v>
      </c>
      <c r="Q54" s="399">
        <v>2</v>
      </c>
      <c r="R54" s="277">
        <v>-40</v>
      </c>
      <c r="S54" s="277">
        <v>125</v>
      </c>
      <c r="T54" s="256"/>
      <c r="U54" s="256">
        <v>2400000000</v>
      </c>
      <c r="V54" s="278">
        <v>2400000000</v>
      </c>
      <c r="W54" s="435">
        <v>2</v>
      </c>
      <c r="X54" s="310">
        <v>0.01</v>
      </c>
      <c r="Y54" s="245">
        <f t="shared" si="5"/>
        <v>48</v>
      </c>
      <c r="Z54" s="245">
        <f>IF(OR($AN$18=Devices[[#This Row],[Input Type]], 0=Devices[[#This Row],[Input Type]]),Devices[[#This Row],[Row Num]], " ")</f>
        <v>48</v>
      </c>
      <c r="AA54" s="245" t="str">
        <f>IF(OR($AN$19=Devices[[#This Row],[Input Type]], 0=Devices[[#This Row],[Input Type]]),Devices[[#This Row],[Row Num]], " ")</f>
        <v xml:space="preserve"> </v>
      </c>
      <c r="AB54" s="245" t="str">
        <f>IF(OR($AN$20=Devices[[#This Row],[Input Type]], 0=Devices[[#This Row],[Input Type]]),Devices[[#This Row],[Row Num]], " ")</f>
        <v xml:space="preserve"> </v>
      </c>
      <c r="AC54" s="245" t="str">
        <f>IF(0=Devices[[#This Row],[Input Type]], Devices[[#This Row],[Row Num]], " ")</f>
        <v xml:space="preserve"> </v>
      </c>
      <c r="AD54" s="245">
        <f>IFERROR(SMALL(Devices[Row Sel D], Devices[[#This Row],[Row Num]]), " ")</f>
        <v>61</v>
      </c>
      <c r="AE54" s="245" t="str">
        <f>IFERROR(SMALL(Devices[Row Sel IntRdiv], Devices[[#This Row],[Row Num]]), " ")</f>
        <v xml:space="preserve"> </v>
      </c>
      <c r="AF54" s="245">
        <f>IFERROR(SMALL(Devices[Row Sel SE], Devices[[#This Row],[Row Num]]), " ")</f>
        <v>113</v>
      </c>
      <c r="AG54" s="245" t="str">
        <f>IFERROR(SMALL(Devices[Row Sel N], Devices[[#This Row],[Row Num]]), " ")</f>
        <v xml:space="preserve"> </v>
      </c>
      <c r="AH54" s="245" t="str">
        <f>IFERROR(INDEX(Devices[Part], Devices[[#This Row],[Sel D]], 1), "")</f>
        <v>AMC1300-Q1</v>
      </c>
      <c r="AI54" s="245" t="str">
        <f>IFERROR(INDEX(Devices[Part], Devices[[#This Row],[Sel IntRdiv]], 1), "")</f>
        <v/>
      </c>
      <c r="AJ54" s="245">
        <f>IFERROR(INDEX(Devices[Part], Devices[[#This Row],[Sel SE]], 1), "")</f>
        <v>0</v>
      </c>
      <c r="AK54" s="245" t="str">
        <f>IFERROR(INDEX(Devices[Part], Devices[[#This Row],[Sel N]], 1), "")</f>
        <v/>
      </c>
      <c r="AM54" s="246"/>
    </row>
    <row r="55" spans="1:39" ht="15" customHeight="1">
      <c r="A55" s="281" t="s">
        <v>512</v>
      </c>
      <c r="B55" s="241" t="s">
        <v>51</v>
      </c>
      <c r="C55" s="352" t="s">
        <v>51</v>
      </c>
      <c r="D55" s="249">
        <v>4.0000000000000002E-4</v>
      </c>
      <c r="E55" s="249">
        <v>2.5000000000000001E-3</v>
      </c>
      <c r="F55" s="250">
        <v>5</v>
      </c>
      <c r="G55" s="250">
        <v>40</v>
      </c>
      <c r="H55" s="398">
        <v>0.1</v>
      </c>
      <c r="I55" s="398">
        <v>0.8</v>
      </c>
      <c r="J55" s="252">
        <v>1</v>
      </c>
      <c r="K55" s="252">
        <v>10</v>
      </c>
      <c r="L55" s="249">
        <v>1E-4</v>
      </c>
      <c r="M55" s="249">
        <v>2.5000000000000001E-4</v>
      </c>
      <c r="N55" s="250">
        <v>1</v>
      </c>
      <c r="O55" s="250">
        <v>3</v>
      </c>
      <c r="P55" s="276">
        <v>1000</v>
      </c>
      <c r="Q55" s="399">
        <v>2</v>
      </c>
      <c r="R55" s="277">
        <v>-40</v>
      </c>
      <c r="S55" s="277">
        <v>125</v>
      </c>
      <c r="T55" s="256"/>
      <c r="U55" s="256">
        <v>2400000000</v>
      </c>
      <c r="V55" s="278">
        <v>2400000000</v>
      </c>
      <c r="W55" s="435">
        <v>2</v>
      </c>
      <c r="X55" s="310">
        <v>0.01</v>
      </c>
      <c r="Y55" s="245">
        <f t="shared" si="5"/>
        <v>49</v>
      </c>
      <c r="Z55" s="245">
        <f>IF(OR($AN$18=Devices[[#This Row],[Input Type]], 0=Devices[[#This Row],[Input Type]]),Devices[[#This Row],[Row Num]], " ")</f>
        <v>49</v>
      </c>
      <c r="AA55" s="245" t="str">
        <f>IF(OR($AN$19=Devices[[#This Row],[Input Type]], 0=Devices[[#This Row],[Input Type]]),Devices[[#This Row],[Row Num]], " ")</f>
        <v xml:space="preserve"> </v>
      </c>
      <c r="AB55" s="245" t="str">
        <f>IF(OR($AN$20=Devices[[#This Row],[Input Type]], 0=Devices[[#This Row],[Input Type]]),Devices[[#This Row],[Row Num]], " ")</f>
        <v xml:space="preserve"> </v>
      </c>
      <c r="AC55" s="245" t="str">
        <f>IF(0=Devices[[#This Row],[Input Type]], Devices[[#This Row],[Row Num]], " ")</f>
        <v xml:space="preserve"> </v>
      </c>
      <c r="AD55" s="245">
        <f>IFERROR(SMALL(Devices[Row Sel D], Devices[[#This Row],[Row Num]]), " ")</f>
        <v>62</v>
      </c>
      <c r="AE55" s="245" t="str">
        <f>IFERROR(SMALL(Devices[Row Sel IntRdiv], Devices[[#This Row],[Row Num]]), " ")</f>
        <v xml:space="preserve"> </v>
      </c>
      <c r="AF55" s="245">
        <f>IFERROR(SMALL(Devices[Row Sel SE], Devices[[#This Row],[Row Num]]), " ")</f>
        <v>114</v>
      </c>
      <c r="AG55" s="245" t="str">
        <f>IFERROR(SMALL(Devices[Row Sel N], Devices[[#This Row],[Row Num]]), " ")</f>
        <v xml:space="preserve"> </v>
      </c>
      <c r="AH55" s="245" t="str">
        <f>IFERROR(INDEX(Devices[Part], Devices[[#This Row],[Sel D]], 1), "")</f>
        <v>AMC1300B-Q1</v>
      </c>
      <c r="AI55" s="245" t="str">
        <f>IFERROR(INDEX(Devices[Part], Devices[[#This Row],[Sel IntRdiv]], 1), "")</f>
        <v/>
      </c>
      <c r="AJ55" s="245">
        <f>IFERROR(INDEX(Devices[Part], Devices[[#This Row],[Sel SE]], 1), "")</f>
        <v>0</v>
      </c>
      <c r="AK55" s="245" t="str">
        <f>IFERROR(INDEX(Devices[Part], Devices[[#This Row],[Sel N]], 1), "")</f>
        <v/>
      </c>
      <c r="AM55" s="246"/>
    </row>
    <row r="56" spans="1:39" ht="15" customHeight="1">
      <c r="A56" s="281" t="s">
        <v>513</v>
      </c>
      <c r="B56" s="241" t="s">
        <v>51</v>
      </c>
      <c r="C56" s="352" t="s">
        <v>455</v>
      </c>
      <c r="D56" s="249">
        <v>4.0000000000000002E-4</v>
      </c>
      <c r="E56" s="249">
        <v>2.5000000000000001E-3</v>
      </c>
      <c r="F56" s="250">
        <v>5</v>
      </c>
      <c r="G56" s="250">
        <v>40</v>
      </c>
      <c r="H56" s="398">
        <v>0.01</v>
      </c>
      <c r="I56" s="398">
        <v>1.5</v>
      </c>
      <c r="J56" s="252">
        <v>2</v>
      </c>
      <c r="K56" s="252">
        <v>20</v>
      </c>
      <c r="L56" s="249">
        <v>1.2999999999999999E-4</v>
      </c>
      <c r="M56" s="249">
        <v>2.5000000000000001E-4</v>
      </c>
      <c r="N56" s="250">
        <v>1</v>
      </c>
      <c r="O56" s="250">
        <v>3</v>
      </c>
      <c r="P56" s="276">
        <v>1000</v>
      </c>
      <c r="Q56" s="399">
        <v>3.3</v>
      </c>
      <c r="R56" s="277">
        <v>-40</v>
      </c>
      <c r="S56" s="277">
        <v>125</v>
      </c>
      <c r="T56" s="256"/>
      <c r="U56" s="256">
        <v>2400000000</v>
      </c>
      <c r="V56" s="278">
        <v>2400000000</v>
      </c>
      <c r="W56" s="435">
        <v>3.3</v>
      </c>
      <c r="X56" s="310">
        <v>0.01</v>
      </c>
      <c r="Y56" s="245">
        <f>ROW()-6</f>
        <v>50</v>
      </c>
      <c r="Z56" s="245">
        <f>IF(OR($AN$18=Devices[[#This Row],[Input Type]], 0=Devices[[#This Row],[Input Type]]),Devices[[#This Row],[Row Num]], " ")</f>
        <v>50</v>
      </c>
      <c r="AA56" s="245" t="str">
        <f>IF(OR($AN$19=Devices[[#This Row],[Input Type]], 0=Devices[[#This Row],[Input Type]]),Devices[[#This Row],[Row Num]], " ")</f>
        <v xml:space="preserve"> </v>
      </c>
      <c r="AB56" s="245" t="str">
        <f>IF(OR($AN$20=Devices[[#This Row],[Input Type]], 0=Devices[[#This Row],[Input Type]]),Devices[[#This Row],[Row Num]], " ")</f>
        <v xml:space="preserve"> </v>
      </c>
      <c r="AC56" s="245" t="str">
        <f>IF(0=Devices[[#This Row],[Input Type]], Devices[[#This Row],[Row Num]], " ")</f>
        <v xml:space="preserve"> </v>
      </c>
      <c r="AD56" s="245">
        <f>IFERROR(SMALL(Devices[Row Sel D], Devices[[#This Row],[Row Num]]), " ")</f>
        <v>63</v>
      </c>
      <c r="AE56" s="245" t="str">
        <f>IFERROR(SMALL(Devices[Row Sel IntRdiv], Devices[[#This Row],[Row Num]]), " ")</f>
        <v xml:space="preserve"> </v>
      </c>
      <c r="AF56" s="245">
        <f>IFERROR(SMALL(Devices[Row Sel SE], Devices[[#This Row],[Row Num]]), " ")</f>
        <v>115</v>
      </c>
      <c r="AG56" s="245" t="str">
        <f>IFERROR(SMALL(Devices[Row Sel N], Devices[[#This Row],[Row Num]]), " ")</f>
        <v xml:space="preserve"> </v>
      </c>
      <c r="AH56" s="245" t="str">
        <f>IFERROR(INDEX(Devices[Part], Devices[[#This Row],[Sel D]], 1), "")</f>
        <v>AMC1301</v>
      </c>
      <c r="AI56" s="245" t="str">
        <f>IFERROR(INDEX(Devices[Part], Devices[[#This Row],[Sel IntRdiv]], 1), "")</f>
        <v/>
      </c>
      <c r="AJ56" s="245">
        <f>IFERROR(INDEX(Devices[Part], Devices[[#This Row],[Sel SE]], 1), "")</f>
        <v>0</v>
      </c>
      <c r="AK56" s="245" t="str">
        <f>IFERROR(INDEX(Devices[Part], Devices[[#This Row],[Sel N]], 1), "")</f>
        <v/>
      </c>
      <c r="AM56" s="246"/>
    </row>
    <row r="57" spans="1:39" ht="15" customHeight="1">
      <c r="A57" s="281" t="s">
        <v>514</v>
      </c>
      <c r="B57" s="241" t="s">
        <v>51</v>
      </c>
      <c r="C57" s="352" t="s">
        <v>455</v>
      </c>
      <c r="D57" s="249">
        <v>4.0000000000000002E-4</v>
      </c>
      <c r="E57" s="249">
        <v>2.5000000000000001E-3</v>
      </c>
      <c r="F57" s="250">
        <v>5</v>
      </c>
      <c r="G57" s="250">
        <v>40</v>
      </c>
      <c r="H57" s="398">
        <v>0.01</v>
      </c>
      <c r="I57" s="398">
        <v>1.5</v>
      </c>
      <c r="J57" s="252">
        <v>2</v>
      </c>
      <c r="K57" s="252">
        <v>20</v>
      </c>
      <c r="L57" s="249">
        <v>1.2999999999999999E-4</v>
      </c>
      <c r="M57" s="249">
        <v>2.5000000000000001E-4</v>
      </c>
      <c r="N57" s="250">
        <v>1</v>
      </c>
      <c r="O57" s="250">
        <v>3</v>
      </c>
      <c r="P57" s="276">
        <v>1000</v>
      </c>
      <c r="Q57" s="399">
        <v>5</v>
      </c>
      <c r="R57" s="277">
        <v>-40</v>
      </c>
      <c r="S57" s="277">
        <v>125</v>
      </c>
      <c r="T57" s="256"/>
      <c r="U57" s="256">
        <v>2400000000</v>
      </c>
      <c r="V57" s="278">
        <v>2400000000</v>
      </c>
      <c r="W57" s="435">
        <v>5</v>
      </c>
      <c r="X57" s="310">
        <v>0.01</v>
      </c>
      <c r="Y57" s="353">
        <f>ROW()-6</f>
        <v>51</v>
      </c>
      <c r="Z57" s="353">
        <f>IF(OR($AN$18=Devices[[#This Row],[Input Type]], 0=Devices[[#This Row],[Input Type]]),Devices[[#This Row],[Row Num]], " ")</f>
        <v>51</v>
      </c>
      <c r="AA57" s="353" t="str">
        <f>IF(OR($AN$19=Devices[[#This Row],[Input Type]], 0=Devices[[#This Row],[Input Type]]),Devices[[#This Row],[Row Num]], " ")</f>
        <v xml:space="preserve"> </v>
      </c>
      <c r="AB57" s="353" t="str">
        <f>IF(OR($AN$20=Devices[[#This Row],[Input Type]], 0=Devices[[#This Row],[Input Type]]),Devices[[#This Row],[Row Num]], " ")</f>
        <v xml:space="preserve"> </v>
      </c>
      <c r="AC57" s="353" t="str">
        <f>IF(0=Devices[[#This Row],[Input Type]], Devices[[#This Row],[Row Num]], " ")</f>
        <v xml:space="preserve"> </v>
      </c>
      <c r="AD57" s="353">
        <f>IFERROR(SMALL(Devices[Row Sel D], Devices[[#This Row],[Row Num]]), " ")</f>
        <v>64</v>
      </c>
      <c r="AE57" s="353" t="str">
        <f>IFERROR(SMALL(Devices[Row Sel IntRdiv], Devices[[#This Row],[Row Num]]), " ")</f>
        <v xml:space="preserve"> </v>
      </c>
      <c r="AF57" s="353">
        <f>IFERROR(SMALL(Devices[Row Sel SE], Devices[[#This Row],[Row Num]]), " ")</f>
        <v>116</v>
      </c>
      <c r="AG57" s="353" t="str">
        <f>IFERROR(SMALL(Devices[Row Sel N], Devices[[#This Row],[Row Num]]), " ")</f>
        <v xml:space="preserve"> </v>
      </c>
      <c r="AH57" s="353" t="str">
        <f>IFERROR(INDEX(Devices[Part], Devices[[#This Row],[Sel D]], 1), "")</f>
        <v>AMC1301S</v>
      </c>
      <c r="AI57" s="353" t="str">
        <f>IFERROR(INDEX(Devices[Part], Devices[[#This Row],[Sel IntRdiv]], 1), "")</f>
        <v/>
      </c>
      <c r="AJ57" s="353">
        <f>IFERROR(INDEX(Devices[Part], Devices[[#This Row],[Sel SE]], 1), "")</f>
        <v>0</v>
      </c>
      <c r="AK57" s="353" t="str">
        <f>IFERROR(INDEX(Devices[Part], Devices[[#This Row],[Sel N]], 1), "")</f>
        <v/>
      </c>
      <c r="AM57" s="246"/>
    </row>
    <row r="58" spans="1:39" ht="15" customHeight="1">
      <c r="A58" s="281" t="s">
        <v>515</v>
      </c>
      <c r="B58" s="241" t="s">
        <v>51</v>
      </c>
      <c r="C58" s="352" t="s">
        <v>455</v>
      </c>
      <c r="D58" s="249">
        <v>4.0000000000000002E-4</v>
      </c>
      <c r="E58" s="249">
        <v>2.5000000000000001E-3</v>
      </c>
      <c r="F58" s="250">
        <v>5</v>
      </c>
      <c r="G58" s="250">
        <v>40</v>
      </c>
      <c r="H58" s="398">
        <v>0.01</v>
      </c>
      <c r="I58" s="398">
        <v>1.5</v>
      </c>
      <c r="J58" s="252">
        <v>2</v>
      </c>
      <c r="K58" s="252">
        <v>20</v>
      </c>
      <c r="L58" s="249">
        <v>1.2999999999999999E-4</v>
      </c>
      <c r="M58" s="249">
        <v>2.5000000000000001E-4</v>
      </c>
      <c r="N58" s="250">
        <v>1</v>
      </c>
      <c r="O58" s="250">
        <v>3</v>
      </c>
      <c r="P58" s="276">
        <v>1000</v>
      </c>
      <c r="Q58" s="399">
        <v>3.3</v>
      </c>
      <c r="R58" s="277">
        <v>-40</v>
      </c>
      <c r="S58" s="277">
        <v>125</v>
      </c>
      <c r="T58" s="256"/>
      <c r="U58" s="256">
        <v>2400000000</v>
      </c>
      <c r="V58" s="278">
        <v>2400000000</v>
      </c>
      <c r="W58" s="435">
        <v>3.3</v>
      </c>
      <c r="X58" s="310">
        <v>0.01</v>
      </c>
      <c r="Y58" s="353">
        <f t="shared" ref="Y58:Y61" si="6">ROW()-6</f>
        <v>52</v>
      </c>
      <c r="Z58" s="353">
        <f>IF(OR($AN$18=Devices[[#This Row],[Input Type]], 0=Devices[[#This Row],[Input Type]]),Devices[[#This Row],[Row Num]], " ")</f>
        <v>52</v>
      </c>
      <c r="AA58" s="353" t="str">
        <f>IF(OR($AN$19=Devices[[#This Row],[Input Type]], 0=Devices[[#This Row],[Input Type]]),Devices[[#This Row],[Row Num]], " ")</f>
        <v xml:space="preserve"> </v>
      </c>
      <c r="AB58" s="353" t="str">
        <f>IF(OR($AN$20=Devices[[#This Row],[Input Type]], 0=Devices[[#This Row],[Input Type]]),Devices[[#This Row],[Row Num]], " ")</f>
        <v xml:space="preserve"> </v>
      </c>
      <c r="AC58" s="353" t="str">
        <f>IF(0=Devices[[#This Row],[Input Type]], Devices[[#This Row],[Row Num]], " ")</f>
        <v xml:space="preserve"> </v>
      </c>
      <c r="AD58" s="353">
        <f>IFERROR(SMALL(Devices[Row Sel D], Devices[[#This Row],[Row Num]]), " ")</f>
        <v>65</v>
      </c>
      <c r="AE58" s="353" t="str">
        <f>IFERROR(SMALL(Devices[Row Sel IntRdiv], Devices[[#This Row],[Row Num]]), " ")</f>
        <v xml:space="preserve"> </v>
      </c>
      <c r="AF58" s="353">
        <f>IFERROR(SMALL(Devices[Row Sel SE], Devices[[#This Row],[Row Num]]), " ")</f>
        <v>117</v>
      </c>
      <c r="AG58" s="353" t="str">
        <f>IFERROR(SMALL(Devices[Row Sel N], Devices[[#This Row],[Row Num]]), " ")</f>
        <v xml:space="preserve"> </v>
      </c>
      <c r="AH58" s="353" t="str">
        <f>IFERROR(INDEX(Devices[Part], Devices[[#This Row],[Sel D]], 1), "")</f>
        <v>AMC1301-Q1</v>
      </c>
      <c r="AI58" s="353" t="str">
        <f>IFERROR(INDEX(Devices[Part], Devices[[#This Row],[Sel IntRdiv]], 1), "")</f>
        <v/>
      </c>
      <c r="AJ58" s="353">
        <f>IFERROR(INDEX(Devices[Part], Devices[[#This Row],[Sel SE]], 1), "")</f>
        <v>0</v>
      </c>
      <c r="AK58" s="353" t="str">
        <f>IFERROR(INDEX(Devices[Part], Devices[[#This Row],[Sel N]], 1), "")</f>
        <v/>
      </c>
      <c r="AM58" s="246"/>
    </row>
    <row r="59" spans="1:39" ht="15" customHeight="1">
      <c r="A59" s="281" t="s">
        <v>516</v>
      </c>
      <c r="B59" s="241" t="s">
        <v>51</v>
      </c>
      <c r="C59" s="352" t="s">
        <v>455</v>
      </c>
      <c r="D59" s="249">
        <v>4.0000000000000002E-4</v>
      </c>
      <c r="E59" s="249">
        <v>2.5000000000000001E-3</v>
      </c>
      <c r="F59" s="250">
        <v>5</v>
      </c>
      <c r="G59" s="250">
        <v>40</v>
      </c>
      <c r="H59" s="398">
        <v>0.01</v>
      </c>
      <c r="I59" s="398">
        <v>1.5</v>
      </c>
      <c r="J59" s="252">
        <v>2</v>
      </c>
      <c r="K59" s="252">
        <v>20</v>
      </c>
      <c r="L59" s="249">
        <v>1.2999999999999999E-4</v>
      </c>
      <c r="M59" s="249">
        <v>2.5000000000000001E-4</v>
      </c>
      <c r="N59" s="250">
        <v>1</v>
      </c>
      <c r="O59" s="250">
        <v>3</v>
      </c>
      <c r="P59" s="276">
        <v>1000</v>
      </c>
      <c r="Q59" s="399">
        <v>5</v>
      </c>
      <c r="R59" s="277">
        <v>-40</v>
      </c>
      <c r="S59" s="277">
        <v>125</v>
      </c>
      <c r="T59" s="256"/>
      <c r="U59" s="256">
        <v>2400000000</v>
      </c>
      <c r="V59" s="278">
        <v>2400000000</v>
      </c>
      <c r="W59" s="435">
        <v>5</v>
      </c>
      <c r="X59" s="310">
        <v>0.01</v>
      </c>
      <c r="Y59" s="353">
        <f>ROW()-6</f>
        <v>53</v>
      </c>
      <c r="Z59" s="353">
        <f>IF(OR($AN$18=Devices[[#This Row],[Input Type]], 0=Devices[[#This Row],[Input Type]]),Devices[[#This Row],[Row Num]], " ")</f>
        <v>53</v>
      </c>
      <c r="AA59" s="353" t="str">
        <f>IF(OR($AN$19=Devices[[#This Row],[Input Type]], 0=Devices[[#This Row],[Input Type]]),Devices[[#This Row],[Row Num]], " ")</f>
        <v xml:space="preserve"> </v>
      </c>
      <c r="AB59" s="353" t="str">
        <f>IF(OR($AN$20=Devices[[#This Row],[Input Type]], 0=Devices[[#This Row],[Input Type]]),Devices[[#This Row],[Row Num]], " ")</f>
        <v xml:space="preserve"> </v>
      </c>
      <c r="AC59" s="353" t="str">
        <f>IF(0=Devices[[#This Row],[Input Type]], Devices[[#This Row],[Row Num]], " ")</f>
        <v xml:space="preserve"> </v>
      </c>
      <c r="AD59" s="353">
        <f>IFERROR(SMALL(Devices[Row Sel D], Devices[[#This Row],[Row Num]]), " ")</f>
        <v>66</v>
      </c>
      <c r="AE59" s="353" t="str">
        <f>IFERROR(SMALL(Devices[Row Sel IntRdiv], Devices[[#This Row],[Row Num]]), " ")</f>
        <v xml:space="preserve"> </v>
      </c>
      <c r="AF59" s="353">
        <f>IFERROR(SMALL(Devices[Row Sel SE], Devices[[#This Row],[Row Num]]), " ")</f>
        <v>118</v>
      </c>
      <c r="AG59" s="353" t="str">
        <f>IFERROR(SMALL(Devices[Row Sel N], Devices[[#This Row],[Row Num]]), " ")</f>
        <v xml:space="preserve"> </v>
      </c>
      <c r="AH59" s="353" t="str">
        <f>IFERROR(INDEX(Devices[Part], Devices[[#This Row],[Sel D]], 1), "")</f>
        <v>AMC1302</v>
      </c>
      <c r="AI59" s="353" t="str">
        <f>IFERROR(INDEX(Devices[Part], Devices[[#This Row],[Sel IntRdiv]], 1), "")</f>
        <v/>
      </c>
      <c r="AJ59" s="353">
        <f>IFERROR(INDEX(Devices[Part], Devices[[#This Row],[Sel SE]], 1), "")</f>
        <v>0</v>
      </c>
      <c r="AK59" s="353" t="str">
        <f>IFERROR(INDEX(Devices[Part], Devices[[#This Row],[Sel N]], 1), "")</f>
        <v/>
      </c>
      <c r="AM59" s="246"/>
    </row>
    <row r="60" spans="1:39" ht="15" customHeight="1">
      <c r="A60" s="281" t="s">
        <v>517</v>
      </c>
      <c r="B60" s="241" t="s">
        <v>51</v>
      </c>
      <c r="C60" s="352" t="s">
        <v>52</v>
      </c>
      <c r="D60" s="249">
        <v>4.0000000000000002E-4</v>
      </c>
      <c r="E60" s="249">
        <v>2.5000000000000001E-3</v>
      </c>
      <c r="F60" s="250">
        <v>5</v>
      </c>
      <c r="G60" s="250">
        <v>45</v>
      </c>
      <c r="H60" s="398">
        <v>0.1</v>
      </c>
      <c r="I60" s="398">
        <v>1.2</v>
      </c>
      <c r="J60" s="252">
        <v>2</v>
      </c>
      <c r="K60" s="252">
        <v>20</v>
      </c>
      <c r="L60" s="249">
        <v>1E-4</v>
      </c>
      <c r="M60" s="249">
        <v>2.5000000000000001E-4</v>
      </c>
      <c r="N60" s="250">
        <v>1</v>
      </c>
      <c r="O60" s="250">
        <v>3</v>
      </c>
      <c r="P60" s="276">
        <v>1000</v>
      </c>
      <c r="Q60" s="399">
        <v>2</v>
      </c>
      <c r="R60" s="277">
        <v>-40</v>
      </c>
      <c r="S60" s="277">
        <v>125</v>
      </c>
      <c r="T60" s="256"/>
      <c r="U60" s="256">
        <v>2400000000</v>
      </c>
      <c r="V60" s="278">
        <v>2400000000</v>
      </c>
      <c r="W60" s="435">
        <v>2</v>
      </c>
      <c r="X60" s="310">
        <v>0.01</v>
      </c>
      <c r="Y60" s="353">
        <f>ROW()-6</f>
        <v>54</v>
      </c>
      <c r="Z60" s="353">
        <f>IF(OR($AN$18=Devices[[#This Row],[Input Type]], 0=Devices[[#This Row],[Input Type]]),Devices[[#This Row],[Row Num]], " ")</f>
        <v>54</v>
      </c>
      <c r="AA60" s="353" t="str">
        <f>IF(OR($AN$19=Devices[[#This Row],[Input Type]], 0=Devices[[#This Row],[Input Type]]),Devices[[#This Row],[Row Num]], " ")</f>
        <v xml:space="preserve"> </v>
      </c>
      <c r="AB60" s="353" t="str">
        <f>IF(OR($AN$20=Devices[[#This Row],[Input Type]], 0=Devices[[#This Row],[Input Type]]),Devices[[#This Row],[Row Num]], " ")</f>
        <v xml:space="preserve"> </v>
      </c>
      <c r="AC60" s="353" t="str">
        <f>IF(0=Devices[[#This Row],[Input Type]], Devices[[#This Row],[Row Num]], " ")</f>
        <v xml:space="preserve"> </v>
      </c>
      <c r="AD60" s="353">
        <f>IFERROR(SMALL(Devices[Row Sel D], Devices[[#This Row],[Row Num]]), " ")</f>
        <v>67</v>
      </c>
      <c r="AE60" s="353" t="str">
        <f>IFERROR(SMALL(Devices[Row Sel IntRdiv], Devices[[#This Row],[Row Num]]), " ")</f>
        <v xml:space="preserve"> </v>
      </c>
      <c r="AF60" s="353">
        <f>IFERROR(SMALL(Devices[Row Sel SE], Devices[[#This Row],[Row Num]]), " ")</f>
        <v>119</v>
      </c>
      <c r="AG60" s="353" t="str">
        <f>IFERROR(SMALL(Devices[Row Sel N], Devices[[#This Row],[Row Num]]), " ")</f>
        <v xml:space="preserve"> </v>
      </c>
      <c r="AH60" s="353" t="str">
        <f>IFERROR(INDEX(Devices[Part], Devices[[#This Row],[Sel D]], 1), "")</f>
        <v>AMC1302-Q1</v>
      </c>
      <c r="AI60" s="353" t="str">
        <f>IFERROR(INDEX(Devices[Part], Devices[[#This Row],[Sel IntRdiv]], 1), "")</f>
        <v/>
      </c>
      <c r="AJ60" s="353">
        <f>IFERROR(INDEX(Devices[Part], Devices[[#This Row],[Sel SE]], 1), "")</f>
        <v>0</v>
      </c>
      <c r="AK60" s="353" t="str">
        <f>IFERROR(INDEX(Devices[Part], Devices[[#This Row],[Sel N]], 1), "")</f>
        <v/>
      </c>
      <c r="AM60" s="246"/>
    </row>
    <row r="61" spans="1:39" ht="15" customHeight="1">
      <c r="A61" s="281" t="s">
        <v>518</v>
      </c>
      <c r="B61" s="241" t="s">
        <v>51</v>
      </c>
      <c r="C61" s="352" t="s">
        <v>52</v>
      </c>
      <c r="D61" s="249">
        <v>4.0000000000000002E-4</v>
      </c>
      <c r="E61" s="249">
        <v>2.5000000000000001E-3</v>
      </c>
      <c r="F61" s="250">
        <v>5</v>
      </c>
      <c r="G61" s="250">
        <v>45</v>
      </c>
      <c r="H61" s="398">
        <v>0.1</v>
      </c>
      <c r="I61" s="398">
        <v>1.2</v>
      </c>
      <c r="J61" s="252">
        <v>2</v>
      </c>
      <c r="K61" s="252">
        <v>20</v>
      </c>
      <c r="L61" s="249">
        <v>1E-4</v>
      </c>
      <c r="M61" s="249">
        <v>2.5000000000000001E-4</v>
      </c>
      <c r="N61" s="250">
        <v>1</v>
      </c>
      <c r="O61" s="250">
        <v>3</v>
      </c>
      <c r="P61" s="276">
        <v>1000</v>
      </c>
      <c r="Q61" s="399">
        <v>2</v>
      </c>
      <c r="R61" s="277">
        <v>-40</v>
      </c>
      <c r="S61" s="277">
        <v>125</v>
      </c>
      <c r="T61" s="256"/>
      <c r="U61" s="256">
        <v>2400000000</v>
      </c>
      <c r="V61" s="278">
        <v>2400000000</v>
      </c>
      <c r="W61" s="435">
        <v>2</v>
      </c>
      <c r="X61" s="310">
        <v>0.01</v>
      </c>
      <c r="Y61" s="353">
        <f t="shared" si="6"/>
        <v>55</v>
      </c>
      <c r="Z61" s="353">
        <f>IF(OR($AN$18=Devices[[#This Row],[Input Type]], 0=Devices[[#This Row],[Input Type]]),Devices[[#This Row],[Row Num]], " ")</f>
        <v>55</v>
      </c>
      <c r="AA61" s="353" t="str">
        <f>IF(OR($AN$19=Devices[[#This Row],[Input Type]], 0=Devices[[#This Row],[Input Type]]),Devices[[#This Row],[Row Num]], " ")</f>
        <v xml:space="preserve"> </v>
      </c>
      <c r="AB61" s="353" t="str">
        <f>IF(OR($AN$20=Devices[[#This Row],[Input Type]], 0=Devices[[#This Row],[Input Type]]),Devices[[#This Row],[Row Num]], " ")</f>
        <v xml:space="preserve"> </v>
      </c>
      <c r="AC61" s="353" t="str">
        <f>IF(0=Devices[[#This Row],[Input Type]], Devices[[#This Row],[Row Num]], " ")</f>
        <v xml:space="preserve"> </v>
      </c>
      <c r="AD61" s="353">
        <f>IFERROR(SMALL(Devices[Row Sel D], Devices[[#This Row],[Row Num]]), " ")</f>
        <v>72</v>
      </c>
      <c r="AE61" s="353" t="str">
        <f>IFERROR(SMALL(Devices[Row Sel IntRdiv], Devices[[#This Row],[Row Num]]), " ")</f>
        <v xml:space="preserve"> </v>
      </c>
      <c r="AF61" s="353">
        <f>IFERROR(SMALL(Devices[Row Sel SE], Devices[[#This Row],[Row Num]]), " ")</f>
        <v>120</v>
      </c>
      <c r="AG61" s="353" t="str">
        <f>IFERROR(SMALL(Devices[Row Sel N], Devices[[#This Row],[Row Num]]), " ")</f>
        <v xml:space="preserve"> </v>
      </c>
      <c r="AH61" s="353" t="str">
        <f>IFERROR(INDEX(Devices[Part], Devices[[#This Row],[Sel D]], 1), "")</f>
        <v>AMC1350</v>
      </c>
      <c r="AI61" s="353" t="str">
        <f>IFERROR(INDEX(Devices[Part], Devices[[#This Row],[Sel IntRdiv]], 1), "")</f>
        <v/>
      </c>
      <c r="AJ61" s="353">
        <f>IFERROR(INDEX(Devices[Part], Devices[[#This Row],[Sel SE]], 1), "")</f>
        <v>0</v>
      </c>
      <c r="AK61" s="353" t="str">
        <f>IFERROR(INDEX(Devices[Part], Devices[[#This Row],[Sel N]], 1), "")</f>
        <v/>
      </c>
      <c r="AM61" s="246"/>
    </row>
    <row r="62" spans="1:39" ht="15" customHeight="1">
      <c r="A62" s="281" t="s">
        <v>519</v>
      </c>
      <c r="B62" s="241" t="s">
        <v>51</v>
      </c>
      <c r="C62" s="352" t="s">
        <v>51</v>
      </c>
      <c r="D62" s="249">
        <v>4.0000000000000002E-4</v>
      </c>
      <c r="E62" s="249">
        <v>2.5000000000000001E-3</v>
      </c>
      <c r="F62" s="250">
        <v>5</v>
      </c>
      <c r="G62" s="250">
        <v>35</v>
      </c>
      <c r="H62" s="398">
        <v>0.01</v>
      </c>
      <c r="I62" s="398">
        <v>0.2</v>
      </c>
      <c r="J62" s="252">
        <v>0.25</v>
      </c>
      <c r="K62" s="252">
        <v>2</v>
      </c>
      <c r="L62" s="249">
        <v>1.2999999999999999E-4</v>
      </c>
      <c r="M62" s="249">
        <v>4.0000000000000002E-4</v>
      </c>
      <c r="N62" s="250">
        <v>1</v>
      </c>
      <c r="O62" s="250">
        <v>3</v>
      </c>
      <c r="P62" s="276">
        <v>250</v>
      </c>
      <c r="Q62" s="399">
        <v>2</v>
      </c>
      <c r="R62" s="277">
        <v>-40</v>
      </c>
      <c r="S62" s="277">
        <v>125</v>
      </c>
      <c r="T62" s="256"/>
      <c r="U62" s="256">
        <v>27500</v>
      </c>
      <c r="V62" s="278">
        <v>27500</v>
      </c>
      <c r="W62" s="435">
        <v>8</v>
      </c>
      <c r="X62" s="310">
        <v>0</v>
      </c>
      <c r="Y62" s="353">
        <f>ROW()-6</f>
        <v>56</v>
      </c>
      <c r="Z62" s="353">
        <f>IF(OR($AN$18=Devices[[#This Row],[Input Type]], 0=Devices[[#This Row],[Input Type]]),Devices[[#This Row],[Row Num]], " ")</f>
        <v>56</v>
      </c>
      <c r="AA62" s="353" t="str">
        <f>IF(OR($AN$19=Devices[[#This Row],[Input Type]], 0=Devices[[#This Row],[Input Type]]),Devices[[#This Row],[Row Num]], " ")</f>
        <v xml:space="preserve"> </v>
      </c>
      <c r="AB62" s="353" t="str">
        <f>IF(OR($AN$20=Devices[[#This Row],[Input Type]], 0=Devices[[#This Row],[Input Type]]),Devices[[#This Row],[Row Num]], " ")</f>
        <v xml:space="preserve"> </v>
      </c>
      <c r="AC62" s="353" t="str">
        <f>IF(0=Devices[[#This Row],[Input Type]], Devices[[#This Row],[Row Num]], " ")</f>
        <v xml:space="preserve"> </v>
      </c>
      <c r="AD62" s="353">
        <f>IFERROR(SMALL(Devices[Row Sel D], Devices[[#This Row],[Row Num]]), " ")</f>
        <v>74</v>
      </c>
      <c r="AE62" s="353" t="str">
        <f>IFERROR(SMALL(Devices[Row Sel IntRdiv], Devices[[#This Row],[Row Num]]), " ")</f>
        <v xml:space="preserve"> </v>
      </c>
      <c r="AF62" s="353">
        <f>IFERROR(SMALL(Devices[Row Sel SE], Devices[[#This Row],[Row Num]]), " ")</f>
        <v>121</v>
      </c>
      <c r="AG62" s="353" t="str">
        <f>IFERROR(SMALL(Devices[Row Sel N], Devices[[#This Row],[Row Num]]), " ")</f>
        <v xml:space="preserve"> </v>
      </c>
      <c r="AH62" s="353" t="str">
        <f>IFERROR(INDEX(Devices[Part], Devices[[#This Row],[Sel D]], 1), "")</f>
        <v>AMC1400</v>
      </c>
      <c r="AI62" s="353" t="str">
        <f>IFERROR(INDEX(Devices[Part], Devices[[#This Row],[Sel IntRdiv]], 1), "")</f>
        <v/>
      </c>
      <c r="AJ62" s="353">
        <f>IFERROR(INDEX(Devices[Part], Devices[[#This Row],[Sel SE]], 1), "")</f>
        <v>0</v>
      </c>
      <c r="AK62" s="353" t="str">
        <f>IFERROR(INDEX(Devices[Part], Devices[[#This Row],[Sel N]], 1), "")</f>
        <v/>
      </c>
      <c r="AM62" s="246"/>
    </row>
    <row r="63" spans="1:39" ht="15" customHeight="1">
      <c r="A63" s="281" t="s">
        <v>215</v>
      </c>
      <c r="B63" s="241" t="s">
        <v>51</v>
      </c>
      <c r="C63" s="352" t="s">
        <v>51</v>
      </c>
      <c r="D63" s="249">
        <v>4.0000000000000002E-4</v>
      </c>
      <c r="E63" s="249">
        <v>2E-3</v>
      </c>
      <c r="F63" s="250">
        <v>3</v>
      </c>
      <c r="G63" s="250">
        <v>35</v>
      </c>
      <c r="H63" s="398">
        <v>2.5000000000000001E-3</v>
      </c>
      <c r="I63" s="398">
        <v>0.05</v>
      </c>
      <c r="J63" s="252">
        <v>0.15</v>
      </c>
      <c r="K63" s="252">
        <v>0.8</v>
      </c>
      <c r="L63" s="249">
        <v>1E-4</v>
      </c>
      <c r="M63" s="249">
        <v>2.9999999999999997E-4</v>
      </c>
      <c r="N63" s="250">
        <v>1</v>
      </c>
      <c r="O63" s="250">
        <v>3</v>
      </c>
      <c r="P63" s="276">
        <v>50</v>
      </c>
      <c r="Q63" s="399" t="s">
        <v>459</v>
      </c>
      <c r="R63" s="277">
        <v>-55</v>
      </c>
      <c r="S63" s="277">
        <v>125</v>
      </c>
      <c r="T63" s="256"/>
      <c r="U63" s="256">
        <v>4750</v>
      </c>
      <c r="V63" s="278">
        <v>4900</v>
      </c>
      <c r="W63" s="435">
        <v>41</v>
      </c>
      <c r="X63" s="259">
        <v>36</v>
      </c>
      <c r="Y63" s="353">
        <f>ROW()-6</f>
        <v>57</v>
      </c>
      <c r="Z63" s="353">
        <f>IF(OR($AN$18=Devices[[#This Row],[Input Type]], 0=Devices[[#This Row],[Input Type]]),Devices[[#This Row],[Row Num]], " ")</f>
        <v>57</v>
      </c>
      <c r="AA63" s="353" t="str">
        <f>IF(OR($AN$19=Devices[[#This Row],[Input Type]], 0=Devices[[#This Row],[Input Type]]),Devices[[#This Row],[Row Num]], " ")</f>
        <v xml:space="preserve"> </v>
      </c>
      <c r="AB63" s="353" t="str">
        <f>IF(OR($AN$20=Devices[[#This Row],[Input Type]], 0=Devices[[#This Row],[Input Type]]),Devices[[#This Row],[Row Num]], " ")</f>
        <v xml:space="preserve"> </v>
      </c>
      <c r="AC63" s="353" t="str">
        <f>IF(0=Devices[[#This Row],[Input Type]], Devices[[#This Row],[Row Num]], " ")</f>
        <v xml:space="preserve"> </v>
      </c>
      <c r="AD63" s="353">
        <f>IFERROR(SMALL(Devices[Row Sel D], Devices[[#This Row],[Row Num]]), " ")</f>
        <v>76</v>
      </c>
      <c r="AE63" s="353" t="str">
        <f>IFERROR(SMALL(Devices[Row Sel IntRdiv], Devices[[#This Row],[Row Num]]), " ")</f>
        <v xml:space="preserve"> </v>
      </c>
      <c r="AF63" s="353">
        <f>IFERROR(SMALL(Devices[Row Sel SE], Devices[[#This Row],[Row Num]]), " ")</f>
        <v>122</v>
      </c>
      <c r="AG63" s="353" t="str">
        <f>IFERROR(SMALL(Devices[Row Sel N], Devices[[#This Row],[Row Num]]), " ")</f>
        <v xml:space="preserve"> </v>
      </c>
      <c r="AH63" s="353" t="str">
        <f>IFERROR(INDEX(Devices[Part], Devices[[#This Row],[Sel D]], 1), "")</f>
        <v>AMC3301</v>
      </c>
      <c r="AI63" s="353" t="str">
        <f>IFERROR(INDEX(Devices[Part], Devices[[#This Row],[Sel IntRdiv]], 1), "")</f>
        <v/>
      </c>
      <c r="AJ63" s="353">
        <f>IFERROR(INDEX(Devices[Part], Devices[[#This Row],[Sel SE]], 1), "")</f>
        <v>0</v>
      </c>
      <c r="AK63" s="353" t="str">
        <f>IFERROR(INDEX(Devices[Part], Devices[[#This Row],[Sel N]], 1), "")</f>
        <v/>
      </c>
      <c r="AM63" s="246"/>
    </row>
    <row r="64" spans="1:39" ht="15" customHeight="1">
      <c r="A64" s="261" t="s">
        <v>201</v>
      </c>
      <c r="B64" s="396" t="s">
        <v>52</v>
      </c>
      <c r="C64" s="352" t="s">
        <v>51</v>
      </c>
      <c r="D64" s="249">
        <v>5.0000000000000001E-4</v>
      </c>
      <c r="E64" s="249">
        <v>2E-3</v>
      </c>
      <c r="F64" s="250">
        <v>5</v>
      </c>
      <c r="G64" s="250">
        <v>40</v>
      </c>
      <c r="H64" s="262">
        <v>0.4</v>
      </c>
      <c r="I64" s="251">
        <v>1.5</v>
      </c>
      <c r="J64" s="252">
        <v>3</v>
      </c>
      <c r="K64" s="252">
        <v>10</v>
      </c>
      <c r="L64" s="249">
        <v>1E-4</v>
      </c>
      <c r="M64" s="249">
        <v>4.0000000000000002E-4</v>
      </c>
      <c r="N64" s="250">
        <v>1</v>
      </c>
      <c r="O64" s="250">
        <v>3</v>
      </c>
      <c r="P64" s="253">
        <v>2000</v>
      </c>
      <c r="Q64" s="397" t="s">
        <v>460</v>
      </c>
      <c r="R64" s="254">
        <v>-40</v>
      </c>
      <c r="S64" s="254">
        <v>125</v>
      </c>
      <c r="T64" s="255"/>
      <c r="U64" s="255">
        <v>1000000000</v>
      </c>
      <c r="V64" s="255">
        <v>1000000000</v>
      </c>
      <c r="W64" s="435">
        <v>1</v>
      </c>
      <c r="X64" s="263">
        <v>3.5000000000000001E-3</v>
      </c>
      <c r="Y64" s="264">
        <f>ROW()-6</f>
        <v>58</v>
      </c>
      <c r="Z64" s="264" t="str">
        <f>IF(OR($AN$18=Devices[[#This Row],[Input Type]], 0=Devices[[#This Row],[Input Type]]),Devices[[#This Row],[Row Num]], " ")</f>
        <v xml:space="preserve"> </v>
      </c>
      <c r="AA64" s="264" t="str">
        <f>IF(OR($AN$19=Devices[[#This Row],[Input Type]], 0=Devices[[#This Row],[Input Type]]),Devices[[#This Row],[Row Num]], " ")</f>
        <v xml:space="preserve"> </v>
      </c>
      <c r="AB64" s="264">
        <f>IF(OR($AN$20=Devices[[#This Row],[Input Type]], 0=Devices[[#This Row],[Input Type]]),Devices[[#This Row],[Row Num]], " ")</f>
        <v>58</v>
      </c>
      <c r="AC64" s="264" t="str">
        <f>IF(0=Devices[[#This Row],[Input Type]], Devices[[#This Row],[Row Num]], " ")</f>
        <v xml:space="preserve"> </v>
      </c>
      <c r="AD64" s="264">
        <f>IFERROR(SMALL(Devices[Row Sel D], Devices[[#This Row],[Row Num]]), " ")</f>
        <v>77</v>
      </c>
      <c r="AE64" s="264" t="str">
        <f>IFERROR(SMALL(Devices[Row Sel IntRdiv], Devices[[#This Row],[Row Num]]), " ")</f>
        <v xml:space="preserve"> </v>
      </c>
      <c r="AF64" s="264">
        <f>IFERROR(SMALL(Devices[Row Sel SE], Devices[[#This Row],[Row Num]]), " ")</f>
        <v>123</v>
      </c>
      <c r="AG64" s="264" t="str">
        <f>IFERROR(SMALL(Devices[Row Sel N], Devices[[#This Row],[Row Num]]), " ")</f>
        <v xml:space="preserve"> </v>
      </c>
      <c r="AH64" s="264" t="str">
        <f>IFERROR(INDEX(Devices[Part], Devices[[#This Row],[Sel D]], 1), "")</f>
        <v>AMC3301-Q1</v>
      </c>
      <c r="AI64" s="264" t="str">
        <f>IFERROR(INDEX(Devices[Part], Devices[[#This Row],[Sel IntRdiv]], 1), "")</f>
        <v/>
      </c>
      <c r="AJ64" s="264">
        <f>IFERROR(INDEX(Devices[Part], Devices[[#This Row],[Sel SE]], 1), "")</f>
        <v>0</v>
      </c>
      <c r="AK64" s="264" t="str">
        <f>IFERROR(INDEX(Devices[Part], Devices[[#This Row],[Sel N]], 1), "")</f>
        <v/>
      </c>
    </row>
    <row r="65" spans="1:39" ht="15" customHeight="1">
      <c r="A65" s="265" t="s">
        <v>13</v>
      </c>
      <c r="B65" s="396" t="s">
        <v>51</v>
      </c>
      <c r="C65" s="352" t="s">
        <v>51</v>
      </c>
      <c r="D65" s="266">
        <v>4.0000000000000001E-3</v>
      </c>
      <c r="E65" s="266">
        <v>0.01</v>
      </c>
      <c r="F65" s="267">
        <v>50</v>
      </c>
      <c r="G65" s="267">
        <v>150</v>
      </c>
      <c r="H65" s="268">
        <v>0.01</v>
      </c>
      <c r="I65" s="268">
        <v>2</v>
      </c>
      <c r="J65" s="269">
        <v>1.3</v>
      </c>
      <c r="K65" s="269">
        <v>4</v>
      </c>
      <c r="L65" s="266">
        <v>1E-4</v>
      </c>
      <c r="M65" s="266">
        <v>2.9999999999999997E-4</v>
      </c>
      <c r="N65" s="267">
        <v>1</v>
      </c>
      <c r="O65" s="267">
        <v>3</v>
      </c>
      <c r="P65" s="270">
        <v>250</v>
      </c>
      <c r="Q65" s="397" t="s">
        <v>459</v>
      </c>
      <c r="R65" s="254">
        <v>-40</v>
      </c>
      <c r="S65" s="254">
        <v>125</v>
      </c>
      <c r="T65" s="257">
        <v>12500</v>
      </c>
      <c r="U65" s="256">
        <v>19000</v>
      </c>
      <c r="V65" s="255">
        <v>22000</v>
      </c>
      <c r="W65" s="435">
        <v>8.1999999999999993</v>
      </c>
      <c r="X65" s="259">
        <v>30</v>
      </c>
      <c r="Y65" s="245">
        <f t="shared" si="0"/>
        <v>59</v>
      </c>
      <c r="Z65" s="245">
        <f>IF(OR($AN$18=Devices[[#This Row],[Input Type]], 0=Devices[[#This Row],[Input Type]]),Devices[[#This Row],[Row Num]], " ")</f>
        <v>59</v>
      </c>
      <c r="AA65" s="245" t="str">
        <f>IF(OR($AN$19=Devices[[#This Row],[Input Type]], 0=Devices[[#This Row],[Input Type]]),Devices[[#This Row],[Row Num]], " ")</f>
        <v xml:space="preserve"> </v>
      </c>
      <c r="AB65" s="245" t="str">
        <f>IF(OR($AN$20=Devices[[#This Row],[Input Type]], 0=Devices[[#This Row],[Input Type]]),Devices[[#This Row],[Row Num]], " ")</f>
        <v xml:space="preserve"> </v>
      </c>
      <c r="AC65" s="245" t="str">
        <f>IF(0=Devices[[#This Row],[Input Type]], Devices[[#This Row],[Row Num]], " ")</f>
        <v xml:space="preserve"> </v>
      </c>
      <c r="AD65" s="245">
        <f>IFERROR(SMALL(Devices[Row Sel D], Devices[[#This Row],[Row Num]]), " ")</f>
        <v>78</v>
      </c>
      <c r="AE65" s="245" t="str">
        <f>IFERROR(SMALL(Devices[Row Sel IntRdiv], Devices[[#This Row],[Row Num]]), " ")</f>
        <v xml:space="preserve"> </v>
      </c>
      <c r="AF65" s="245">
        <f>IFERROR(SMALL(Devices[Row Sel SE], Devices[[#This Row],[Row Num]]), " ")</f>
        <v>124</v>
      </c>
      <c r="AG65" s="245" t="str">
        <f>IFERROR(SMALL(Devices[Row Sel N], Devices[[#This Row],[Row Num]]), " ")</f>
        <v xml:space="preserve"> </v>
      </c>
      <c r="AH65" s="245" t="str">
        <f>IFERROR(INDEX(Devices[Part], Devices[[#This Row],[Sel D]], 1), "")</f>
        <v>AMC3302</v>
      </c>
      <c r="AI65" s="245" t="str">
        <f>IFERROR(INDEX(Devices[Part], Devices[[#This Row],[Sel IntRdiv]], 1), "")</f>
        <v/>
      </c>
      <c r="AJ65" s="245">
        <f>IFERROR(INDEX(Devices[Part], Devices[[#This Row],[Sel SE]], 1), "")</f>
        <v>0</v>
      </c>
      <c r="AK65" s="245" t="str">
        <f>IFERROR(INDEX(Devices[Part], Devices[[#This Row],[Sel N]], 1), "")</f>
        <v/>
      </c>
    </row>
    <row r="66" spans="1:39" ht="15" customHeight="1">
      <c r="A66" s="271" t="s">
        <v>73</v>
      </c>
      <c r="B66" s="396" t="s">
        <v>51</v>
      </c>
      <c r="C66" s="352" t="s">
        <v>51</v>
      </c>
      <c r="D66" s="272">
        <v>5.0000000000000001E-4</v>
      </c>
      <c r="E66" s="272">
        <v>3.0000000000000001E-3</v>
      </c>
      <c r="F66" s="273">
        <v>5</v>
      </c>
      <c r="G66" s="273">
        <v>30</v>
      </c>
      <c r="H66" s="274">
        <v>0.01</v>
      </c>
      <c r="I66" s="274">
        <v>0.2</v>
      </c>
      <c r="J66" s="275">
        <v>0.1</v>
      </c>
      <c r="K66" s="275">
        <v>0.9</v>
      </c>
      <c r="L66" s="272">
        <v>1E-4</v>
      </c>
      <c r="M66" s="272">
        <v>2.9999999999999997E-4</v>
      </c>
      <c r="N66" s="273">
        <v>1</v>
      </c>
      <c r="O66" s="273">
        <v>3</v>
      </c>
      <c r="P66" s="276">
        <v>250</v>
      </c>
      <c r="Q66" s="397" t="s">
        <v>459</v>
      </c>
      <c r="R66" s="254">
        <v>-55</v>
      </c>
      <c r="S66" s="254">
        <v>125</v>
      </c>
      <c r="T66" s="256">
        <v>12500</v>
      </c>
      <c r="U66" s="256">
        <v>19000</v>
      </c>
      <c r="V66" s="255">
        <v>22222</v>
      </c>
      <c r="W66" s="435">
        <v>8.1999999999999993</v>
      </c>
      <c r="X66" s="259">
        <v>30</v>
      </c>
      <c r="Y66" s="245">
        <f t="shared" si="0"/>
        <v>60</v>
      </c>
      <c r="Z66" s="245">
        <f>IF(OR($AN$18=Devices[[#This Row],[Input Type]], 0=Devices[[#This Row],[Input Type]]),Devices[[#This Row],[Row Num]], " ")</f>
        <v>60</v>
      </c>
      <c r="AA66" s="245" t="str">
        <f>IF(OR($AN$19=Devices[[#This Row],[Input Type]], 0=Devices[[#This Row],[Input Type]]),Devices[[#This Row],[Row Num]], " ")</f>
        <v xml:space="preserve"> </v>
      </c>
      <c r="AB66" s="245" t="str">
        <f>IF(OR($AN$20=Devices[[#This Row],[Input Type]], 0=Devices[[#This Row],[Input Type]]),Devices[[#This Row],[Row Num]], " ")</f>
        <v xml:space="preserve"> </v>
      </c>
      <c r="AC66" s="245" t="str">
        <f>IF(0=Devices[[#This Row],[Input Type]], Devices[[#This Row],[Row Num]], " ")</f>
        <v xml:space="preserve"> </v>
      </c>
      <c r="AD66" s="245">
        <f>IFERROR(SMALL(Devices[Row Sel D], Devices[[#This Row],[Row Num]]), " ")</f>
        <v>79</v>
      </c>
      <c r="AE66" s="245" t="str">
        <f>IFERROR(SMALL(Devices[Row Sel IntRdiv], Devices[[#This Row],[Row Num]]), " ")</f>
        <v xml:space="preserve"> </v>
      </c>
      <c r="AF66" s="245">
        <f>IFERROR(SMALL(Devices[Row Sel SE], Devices[[#This Row],[Row Num]]), " ")</f>
        <v>125</v>
      </c>
      <c r="AG66" s="245" t="str">
        <f>IFERROR(SMALL(Devices[Row Sel N], Devices[[#This Row],[Row Num]]), " ")</f>
        <v xml:space="preserve"> </v>
      </c>
      <c r="AH66" s="245" t="str">
        <f>IFERROR(INDEX(Devices[Part], Devices[[#This Row],[Sel D]], 1), "")</f>
        <v>AMC3302-Q1</v>
      </c>
      <c r="AI66" s="245" t="str">
        <f>IFERROR(INDEX(Devices[Part], Devices[[#This Row],[Sel IntRdiv]], 1), "")</f>
        <v/>
      </c>
      <c r="AJ66" s="245">
        <f>IFERROR(INDEX(Devices[Part], Devices[[#This Row],[Sel SE]], 1), "")</f>
        <v>0</v>
      </c>
      <c r="AK66" s="245" t="str">
        <f>IFERROR(INDEX(Devices[Part], Devices[[#This Row],[Sel N]], 1), "")</f>
        <v/>
      </c>
      <c r="AM66" s="246"/>
    </row>
    <row r="67" spans="1:39" ht="15" customHeight="1">
      <c r="A67" s="265" t="s">
        <v>61</v>
      </c>
      <c r="B67" s="396" t="s">
        <v>51</v>
      </c>
      <c r="C67" s="352" t="s">
        <v>51</v>
      </c>
      <c r="D67" s="266">
        <v>4.0000000000000001E-3</v>
      </c>
      <c r="E67" s="266">
        <v>0.01</v>
      </c>
      <c r="F67" s="267">
        <v>50</v>
      </c>
      <c r="G67" s="267">
        <v>150</v>
      </c>
      <c r="H67" s="268">
        <v>0.01</v>
      </c>
      <c r="I67" s="268">
        <v>2</v>
      </c>
      <c r="J67" s="269">
        <v>1.3</v>
      </c>
      <c r="K67" s="269">
        <v>4</v>
      </c>
      <c r="L67" s="266">
        <v>1E-4</v>
      </c>
      <c r="M67" s="266">
        <v>2.9999999999999997E-4</v>
      </c>
      <c r="N67" s="267">
        <v>1</v>
      </c>
      <c r="O67" s="267">
        <v>3</v>
      </c>
      <c r="P67" s="270">
        <v>250</v>
      </c>
      <c r="Q67" s="397" t="s">
        <v>459</v>
      </c>
      <c r="R67" s="254">
        <v>-40</v>
      </c>
      <c r="S67" s="254">
        <v>125</v>
      </c>
      <c r="T67" s="257">
        <v>12500</v>
      </c>
      <c r="U67" s="279">
        <v>19000</v>
      </c>
      <c r="V67" s="255">
        <v>22000</v>
      </c>
      <c r="W67" s="435">
        <v>8.1999999999999993</v>
      </c>
      <c r="X67" s="280">
        <v>30</v>
      </c>
      <c r="Y67" s="245">
        <f t="shared" si="0"/>
        <v>61</v>
      </c>
      <c r="Z67" s="245">
        <f>IF(OR($AN$18=Devices[[#This Row],[Input Type]], 0=Devices[[#This Row],[Input Type]]),Devices[[#This Row],[Row Num]], " ")</f>
        <v>61</v>
      </c>
      <c r="AA67" s="245" t="str">
        <f>IF(OR($AN$19=Devices[[#This Row],[Input Type]], 0=Devices[[#This Row],[Input Type]]),Devices[[#This Row],[Row Num]], " ")</f>
        <v xml:space="preserve"> </v>
      </c>
      <c r="AB67" s="245" t="str">
        <f>IF(OR($AN$20=Devices[[#This Row],[Input Type]], 0=Devices[[#This Row],[Input Type]]),Devices[[#This Row],[Row Num]], " ")</f>
        <v xml:space="preserve"> </v>
      </c>
      <c r="AC67" s="245" t="str">
        <f>IF(0=Devices[[#This Row],[Input Type]], Devices[[#This Row],[Row Num]], " ")</f>
        <v xml:space="preserve"> </v>
      </c>
      <c r="AD67" s="245">
        <f>IFERROR(SMALL(Devices[Row Sel D], Devices[[#This Row],[Row Num]]), " ")</f>
        <v>82</v>
      </c>
      <c r="AE67" s="245" t="str">
        <f>IFERROR(SMALL(Devices[Row Sel IntRdiv], Devices[[#This Row],[Row Num]]), " ")</f>
        <v xml:space="preserve"> </v>
      </c>
      <c r="AF67" s="245">
        <f>IFERROR(SMALL(Devices[Row Sel SE], Devices[[#This Row],[Row Num]]), " ")</f>
        <v>126</v>
      </c>
      <c r="AG67" s="245" t="str">
        <f>IFERROR(SMALL(Devices[Row Sel N], Devices[[#This Row],[Row Num]]), " ")</f>
        <v xml:space="preserve"> </v>
      </c>
      <c r="AH67" s="245" t="str">
        <f>IFERROR(INDEX(Devices[Part], Devices[[#This Row],[Sel D]], 1), "")</f>
        <v>AMC3330</v>
      </c>
      <c r="AI67" s="245" t="str">
        <f>IFERROR(INDEX(Devices[Part], Devices[[#This Row],[Sel IntRdiv]], 1), "")</f>
        <v/>
      </c>
      <c r="AJ67" s="245">
        <f>IFERROR(INDEX(Devices[Part], Devices[[#This Row],[Sel SE]], 1), "")</f>
        <v>0</v>
      </c>
      <c r="AK67" s="245" t="str">
        <f>IFERROR(INDEX(Devices[Part], Devices[[#This Row],[Sel N]], 1), "")</f>
        <v/>
      </c>
    </row>
    <row r="68" spans="1:39" ht="15" customHeight="1">
      <c r="A68" s="281" t="s">
        <v>205</v>
      </c>
      <c r="B68" s="396" t="s">
        <v>51</v>
      </c>
      <c r="C68" s="352" t="s">
        <v>51</v>
      </c>
      <c r="D68" s="272">
        <v>4.0000000000000002E-4</v>
      </c>
      <c r="E68" s="272">
        <v>3.0000000000000001E-3</v>
      </c>
      <c r="F68" s="273">
        <v>5</v>
      </c>
      <c r="G68" s="273">
        <v>30</v>
      </c>
      <c r="H68" s="274">
        <v>0.01</v>
      </c>
      <c r="I68" s="274">
        <v>0.2</v>
      </c>
      <c r="J68" s="275">
        <v>0.1</v>
      </c>
      <c r="K68" s="275">
        <v>0.9</v>
      </c>
      <c r="L68" s="272">
        <v>1E-4</v>
      </c>
      <c r="M68" s="272">
        <v>2.9999999999999997E-4</v>
      </c>
      <c r="N68" s="273">
        <v>0.4</v>
      </c>
      <c r="O68" s="273">
        <v>1.2</v>
      </c>
      <c r="P68" s="276">
        <v>250</v>
      </c>
      <c r="Q68" s="397" t="s">
        <v>459</v>
      </c>
      <c r="R68" s="254">
        <v>-40</v>
      </c>
      <c r="S68" s="254">
        <v>125</v>
      </c>
      <c r="T68" s="256">
        <v>12500</v>
      </c>
      <c r="U68" s="256">
        <v>19000</v>
      </c>
      <c r="V68" s="255">
        <v>22000</v>
      </c>
      <c r="W68" s="435">
        <v>8.1999999999999993</v>
      </c>
      <c r="X68" s="259">
        <v>30</v>
      </c>
      <c r="Y68" s="245">
        <f t="shared" si="0"/>
        <v>62</v>
      </c>
      <c r="Z68" s="245">
        <f>IF(OR($AN$18=Devices[[#This Row],[Input Type]], 0=Devices[[#This Row],[Input Type]]),Devices[[#This Row],[Row Num]], " ")</f>
        <v>62</v>
      </c>
      <c r="AA68" s="245" t="str">
        <f>IF(OR($AN$19=Devices[[#This Row],[Input Type]], 0=Devices[[#This Row],[Input Type]]),Devices[[#This Row],[Row Num]], " ")</f>
        <v xml:space="preserve"> </v>
      </c>
      <c r="AB68" s="245" t="str">
        <f>IF(OR($AN$20=Devices[[#This Row],[Input Type]], 0=Devices[[#This Row],[Input Type]]),Devices[[#This Row],[Row Num]], " ")</f>
        <v xml:space="preserve"> </v>
      </c>
      <c r="AC68" s="245" t="str">
        <f>IF(0=Devices[[#This Row],[Input Type]], Devices[[#This Row],[Row Num]], " ")</f>
        <v xml:space="preserve"> </v>
      </c>
      <c r="AD68" s="245">
        <f>IFERROR(SMALL(Devices[Row Sel D], Devices[[#This Row],[Row Num]]), " ")</f>
        <v>83</v>
      </c>
      <c r="AE68" s="245" t="str">
        <f>IFERROR(SMALL(Devices[Row Sel IntRdiv], Devices[[#This Row],[Row Num]]), " ")</f>
        <v xml:space="preserve"> </v>
      </c>
      <c r="AF68" s="245">
        <f>IFERROR(SMALL(Devices[Row Sel SE], Devices[[#This Row],[Row Num]]), " ")</f>
        <v>127</v>
      </c>
      <c r="AG68" s="245" t="str">
        <f>IFERROR(SMALL(Devices[Row Sel N], Devices[[#This Row],[Row Num]]), " ")</f>
        <v xml:space="preserve"> </v>
      </c>
      <c r="AH68" s="245" t="str">
        <f>IFERROR(INDEX(Devices[Part], Devices[[#This Row],[Sel D]], 1), "")</f>
        <v>AMC3330-Q1</v>
      </c>
      <c r="AI68" s="245" t="str">
        <f>IFERROR(INDEX(Devices[Part], Devices[[#This Row],[Sel IntRdiv]], 1), "")</f>
        <v/>
      </c>
      <c r="AJ68" s="245">
        <f>IFERROR(INDEX(Devices[Part], Devices[[#This Row],[Sel SE]], 1), "")</f>
        <v>0</v>
      </c>
      <c r="AK68" s="245" t="str">
        <f>IFERROR(INDEX(Devices[Part], Devices[[#This Row],[Sel N]], 1), "")</f>
        <v/>
      </c>
    </row>
    <row r="69" spans="1:39" ht="15" customHeight="1">
      <c r="A69" s="265" t="s">
        <v>14</v>
      </c>
      <c r="B69" s="396" t="s">
        <v>51</v>
      </c>
      <c r="C69" s="352" t="s">
        <v>51</v>
      </c>
      <c r="D69" s="283">
        <v>5.0000000000000001E-4</v>
      </c>
      <c r="E69" s="283">
        <v>3.0000000000000001E-3</v>
      </c>
      <c r="F69" s="284">
        <v>15</v>
      </c>
      <c r="G69" s="284">
        <v>50</v>
      </c>
      <c r="H69" s="285">
        <v>0.05</v>
      </c>
      <c r="I69" s="285">
        <v>0.2</v>
      </c>
      <c r="J69" s="286">
        <v>1</v>
      </c>
      <c r="K69" s="286">
        <v>3</v>
      </c>
      <c r="L69" s="283">
        <v>1E-4</v>
      </c>
      <c r="M69" s="283">
        <v>2.9999999999999997E-4</v>
      </c>
      <c r="N69" s="284">
        <v>1</v>
      </c>
      <c r="O69" s="284">
        <v>3</v>
      </c>
      <c r="P69" s="287">
        <v>250</v>
      </c>
      <c r="Q69" s="397" t="s">
        <v>459</v>
      </c>
      <c r="R69" s="254">
        <v>-40</v>
      </c>
      <c r="S69" s="254">
        <v>125</v>
      </c>
      <c r="T69" s="257">
        <v>12500</v>
      </c>
      <c r="U69" s="257">
        <v>18000</v>
      </c>
      <c r="V69" s="255">
        <v>22000</v>
      </c>
      <c r="W69" s="435">
        <v>8.1999999999999993</v>
      </c>
      <c r="X69" s="288">
        <v>30</v>
      </c>
      <c r="Y69" s="245">
        <f t="shared" si="0"/>
        <v>63</v>
      </c>
      <c r="Z69" s="245">
        <f>IF(OR($AN$18=Devices[[#This Row],[Input Type]], 0=Devices[[#This Row],[Input Type]]),Devices[[#This Row],[Row Num]], " ")</f>
        <v>63</v>
      </c>
      <c r="AA69" s="245" t="str">
        <f>IF(OR($AN$19=Devices[[#This Row],[Input Type]], 0=Devices[[#This Row],[Input Type]]),Devices[[#This Row],[Row Num]], " ")</f>
        <v xml:space="preserve"> </v>
      </c>
      <c r="AB69" s="245" t="str">
        <f>IF(OR($AN$20=Devices[[#This Row],[Input Type]], 0=Devices[[#This Row],[Input Type]]),Devices[[#This Row],[Row Num]], " ")</f>
        <v xml:space="preserve"> </v>
      </c>
      <c r="AC69" s="245" t="str">
        <f>IF(0=Devices[[#This Row],[Input Type]], Devices[[#This Row],[Row Num]], " ")</f>
        <v xml:space="preserve"> </v>
      </c>
      <c r="AD69" s="245">
        <f>IFERROR(SMALL(Devices[Row Sel D], Devices[[#This Row],[Row Num]]), " ")</f>
        <v>90</v>
      </c>
      <c r="AE69" s="245" t="str">
        <f>IFERROR(SMALL(Devices[Row Sel IntRdiv], Devices[[#This Row],[Row Num]]), " ")</f>
        <v xml:space="preserve"> </v>
      </c>
      <c r="AF69" s="245" t="str">
        <f>IFERROR(SMALL(Devices[Row Sel SE], Devices[[#This Row],[Row Num]]), " ")</f>
        <v xml:space="preserve"> </v>
      </c>
      <c r="AG69" s="245" t="str">
        <f>IFERROR(SMALL(Devices[Row Sel N], Devices[[#This Row],[Row Num]]), " ")</f>
        <v xml:space="preserve"> </v>
      </c>
      <c r="AH69" s="245">
        <f>IFERROR(INDEX(Devices[Part], Devices[[#This Row],[Sel D]], 1), "")</f>
        <v>0</v>
      </c>
      <c r="AI69" s="245" t="str">
        <f>IFERROR(INDEX(Devices[Part], Devices[[#This Row],[Sel IntRdiv]], 1), "")</f>
        <v/>
      </c>
      <c r="AJ69" s="245" t="str">
        <f>IFERROR(INDEX(Devices[Part], Devices[[#This Row],[Sel SE]], 1), "")</f>
        <v/>
      </c>
      <c r="AK69" s="245" t="str">
        <f>IFERROR(INDEX(Devices[Part], Devices[[#This Row],[Sel N]], 1), "")</f>
        <v/>
      </c>
      <c r="AM69" s="246"/>
    </row>
    <row r="70" spans="1:39" ht="15" customHeight="1">
      <c r="A70" s="271" t="s">
        <v>72</v>
      </c>
      <c r="B70" s="396" t="s">
        <v>51</v>
      </c>
      <c r="C70" s="352" t="s">
        <v>51</v>
      </c>
      <c r="D70" s="272">
        <v>5.0000000000000001E-4</v>
      </c>
      <c r="E70" s="283">
        <v>3.0000000000000001E-3</v>
      </c>
      <c r="F70" s="284">
        <v>15</v>
      </c>
      <c r="G70" s="284">
        <v>60</v>
      </c>
      <c r="H70" s="285">
        <v>0.05</v>
      </c>
      <c r="I70" s="285">
        <v>0.2</v>
      </c>
      <c r="J70" s="286">
        <v>1</v>
      </c>
      <c r="K70" s="286">
        <v>4</v>
      </c>
      <c r="L70" s="283">
        <v>1E-4</v>
      </c>
      <c r="M70" s="283">
        <v>2.9999999999999997E-4</v>
      </c>
      <c r="N70" s="284">
        <v>1</v>
      </c>
      <c r="O70" s="284">
        <v>3</v>
      </c>
      <c r="P70" s="287">
        <v>250</v>
      </c>
      <c r="Q70" s="397" t="s">
        <v>459</v>
      </c>
      <c r="R70" s="254">
        <v>-55</v>
      </c>
      <c r="S70" s="254">
        <v>125</v>
      </c>
      <c r="T70" s="257">
        <v>12500</v>
      </c>
      <c r="U70" s="257">
        <v>18000</v>
      </c>
      <c r="V70" s="255">
        <v>22000</v>
      </c>
      <c r="W70" s="435">
        <v>8.1999999999999993</v>
      </c>
      <c r="X70" s="259">
        <v>30</v>
      </c>
      <c r="Y70" s="245">
        <f t="shared" si="0"/>
        <v>64</v>
      </c>
      <c r="Z70" s="245">
        <f>IF(OR($AN$18=Devices[[#This Row],[Input Type]], 0=Devices[[#This Row],[Input Type]]),Devices[[#This Row],[Row Num]], " ")</f>
        <v>64</v>
      </c>
      <c r="AA70" s="245" t="str">
        <f>IF(OR($AN$19=Devices[[#This Row],[Input Type]], 0=Devices[[#This Row],[Input Type]]),Devices[[#This Row],[Row Num]], " ")</f>
        <v xml:space="preserve"> </v>
      </c>
      <c r="AB70" s="245" t="str">
        <f>IF(OR($AN$20=Devices[[#This Row],[Input Type]], 0=Devices[[#This Row],[Input Type]]),Devices[[#This Row],[Row Num]], " ")</f>
        <v xml:space="preserve"> </v>
      </c>
      <c r="AC70" s="245" t="str">
        <f>IF(0=Devices[[#This Row],[Input Type]], Devices[[#This Row],[Row Num]], " ")</f>
        <v xml:space="preserve"> </v>
      </c>
      <c r="AD70" s="245">
        <f>IFERROR(SMALL(Devices[Row Sel D], Devices[[#This Row],[Row Num]]), " ")</f>
        <v>91</v>
      </c>
      <c r="AE70" s="245" t="str">
        <f>IFERROR(SMALL(Devices[Row Sel IntRdiv], Devices[[#This Row],[Row Num]]), " ")</f>
        <v xml:space="preserve"> </v>
      </c>
      <c r="AF70" s="245" t="str">
        <f>IFERROR(SMALL(Devices[Row Sel SE], Devices[[#This Row],[Row Num]]), " ")</f>
        <v xml:space="preserve"> </v>
      </c>
      <c r="AG70" s="245" t="str">
        <f>IFERROR(SMALL(Devices[Row Sel N], Devices[[#This Row],[Row Num]]), " ")</f>
        <v xml:space="preserve"> </v>
      </c>
      <c r="AH70" s="245">
        <f>IFERROR(INDEX(Devices[Part], Devices[[#This Row],[Sel D]], 1), "")</f>
        <v>0</v>
      </c>
      <c r="AI70" s="245" t="str">
        <f>IFERROR(INDEX(Devices[Part], Devices[[#This Row],[Sel IntRdiv]], 1), "")</f>
        <v/>
      </c>
      <c r="AJ70" s="245" t="str">
        <f>IFERROR(INDEX(Devices[Part], Devices[[#This Row],[Sel SE]], 1), "")</f>
        <v/>
      </c>
      <c r="AK70" s="245" t="str">
        <f>IFERROR(INDEX(Devices[Part], Devices[[#This Row],[Sel N]], 1), "")</f>
        <v/>
      </c>
    </row>
    <row r="71" spans="1:39" ht="15" customHeight="1">
      <c r="A71" s="265" t="s">
        <v>16</v>
      </c>
      <c r="B71" s="396" t="s">
        <v>51</v>
      </c>
      <c r="C71" s="352" t="s">
        <v>51</v>
      </c>
      <c r="D71" s="283">
        <v>5.0000000000000001E-4</v>
      </c>
      <c r="E71" s="283">
        <v>3.0000000000000001E-3</v>
      </c>
      <c r="F71" s="284">
        <v>15</v>
      </c>
      <c r="G71" s="284">
        <v>50</v>
      </c>
      <c r="H71" s="285">
        <v>0.05</v>
      </c>
      <c r="I71" s="285">
        <v>0.2</v>
      </c>
      <c r="J71" s="286">
        <v>1</v>
      </c>
      <c r="K71" s="286">
        <v>3</v>
      </c>
      <c r="L71" s="283">
        <v>1E-4</v>
      </c>
      <c r="M71" s="283">
        <v>2.9999999999999997E-4</v>
      </c>
      <c r="N71" s="284">
        <v>1</v>
      </c>
      <c r="O71" s="284">
        <v>3</v>
      </c>
      <c r="P71" s="287">
        <v>250</v>
      </c>
      <c r="Q71" s="397" t="s">
        <v>459</v>
      </c>
      <c r="R71" s="254">
        <v>-40</v>
      </c>
      <c r="S71" s="254">
        <v>125</v>
      </c>
      <c r="T71" s="257">
        <v>12500</v>
      </c>
      <c r="U71" s="257">
        <v>18000</v>
      </c>
      <c r="V71" s="255">
        <v>22000</v>
      </c>
      <c r="W71" s="435">
        <v>8.1999999999999993</v>
      </c>
      <c r="X71" s="288">
        <v>30</v>
      </c>
      <c r="Y71" s="245">
        <f t="shared" si="0"/>
        <v>65</v>
      </c>
      <c r="Z71" s="245">
        <f>IF(OR($AN$18=Devices[[#This Row],[Input Type]], 0=Devices[[#This Row],[Input Type]]),Devices[[#This Row],[Row Num]], " ")</f>
        <v>65</v>
      </c>
      <c r="AA71" s="245" t="str">
        <f>IF(OR($AN$19=Devices[[#This Row],[Input Type]], 0=Devices[[#This Row],[Input Type]]),Devices[[#This Row],[Row Num]], " ")</f>
        <v xml:space="preserve"> </v>
      </c>
      <c r="AB71" s="245" t="str">
        <f>IF(OR($AN$20=Devices[[#This Row],[Input Type]], 0=Devices[[#This Row],[Input Type]]),Devices[[#This Row],[Row Num]], " ")</f>
        <v xml:space="preserve"> </v>
      </c>
      <c r="AC71" s="245" t="str">
        <f>IF(0=Devices[[#This Row],[Input Type]], Devices[[#This Row],[Row Num]], " ")</f>
        <v xml:space="preserve"> </v>
      </c>
      <c r="AD71" s="245">
        <f>IFERROR(SMALL(Devices[Row Sel D], Devices[[#This Row],[Row Num]]), " ")</f>
        <v>92</v>
      </c>
      <c r="AE71" s="245" t="str">
        <f>IFERROR(SMALL(Devices[Row Sel IntRdiv], Devices[[#This Row],[Row Num]]), " ")</f>
        <v xml:space="preserve"> </v>
      </c>
      <c r="AF71" s="245" t="str">
        <f>IFERROR(SMALL(Devices[Row Sel SE], Devices[[#This Row],[Row Num]]), " ")</f>
        <v xml:space="preserve"> </v>
      </c>
      <c r="AG71" s="245" t="str">
        <f>IFERROR(SMALL(Devices[Row Sel N], Devices[[#This Row],[Row Num]]), " ")</f>
        <v xml:space="preserve"> </v>
      </c>
      <c r="AH71" s="245">
        <f>IFERROR(INDEX(Devices[Part], Devices[[#This Row],[Sel D]], 1), "")</f>
        <v>0</v>
      </c>
      <c r="AI71" s="245" t="str">
        <f>IFERROR(INDEX(Devices[Part], Devices[[#This Row],[Sel IntRdiv]], 1), "")</f>
        <v/>
      </c>
      <c r="AJ71" s="245" t="str">
        <f>IFERROR(INDEX(Devices[Part], Devices[[#This Row],[Sel SE]], 1), "")</f>
        <v/>
      </c>
      <c r="AK71" s="245" t="str">
        <f>IFERROR(INDEX(Devices[Part], Devices[[#This Row],[Sel N]], 1), "")</f>
        <v/>
      </c>
    </row>
    <row r="72" spans="1:39" ht="15" customHeight="1">
      <c r="A72" s="289" t="s">
        <v>15</v>
      </c>
      <c r="B72" s="396" t="s">
        <v>51</v>
      </c>
      <c r="C72" s="352" t="s">
        <v>51</v>
      </c>
      <c r="D72" s="272">
        <v>4.0000000000000002E-4</v>
      </c>
      <c r="E72" s="290">
        <v>2E-3</v>
      </c>
      <c r="F72" s="250">
        <v>3</v>
      </c>
      <c r="G72" s="250">
        <v>35</v>
      </c>
      <c r="H72" s="291">
        <v>2.5000000000000001E-3</v>
      </c>
      <c r="I72" s="292">
        <v>0.05</v>
      </c>
      <c r="J72" s="293">
        <v>0.15</v>
      </c>
      <c r="K72" s="293">
        <v>0.8</v>
      </c>
      <c r="L72" s="290">
        <v>1E-4</v>
      </c>
      <c r="M72" s="290">
        <v>2.9999999999999997E-4</v>
      </c>
      <c r="N72" s="294">
        <v>1</v>
      </c>
      <c r="O72" s="294">
        <v>3</v>
      </c>
      <c r="P72" s="295">
        <v>50</v>
      </c>
      <c r="Q72" s="397" t="s">
        <v>459</v>
      </c>
      <c r="R72" s="254">
        <v>-55</v>
      </c>
      <c r="S72" s="254">
        <v>125</v>
      </c>
      <c r="T72" s="257">
        <v>2500</v>
      </c>
      <c r="U72" s="296">
        <v>4750</v>
      </c>
      <c r="V72" s="255">
        <v>4900</v>
      </c>
      <c r="W72" s="435">
        <v>41</v>
      </c>
      <c r="X72" s="297">
        <v>36</v>
      </c>
      <c r="Y72" s="245">
        <f t="shared" si="0"/>
        <v>66</v>
      </c>
      <c r="Z72" s="245">
        <f>IF(OR($AN$18=Devices[[#This Row],[Input Type]], 0=Devices[[#This Row],[Input Type]]),Devices[[#This Row],[Row Num]], " ")</f>
        <v>66</v>
      </c>
      <c r="AA72" s="245" t="str">
        <f>IF(OR($AN$19=Devices[[#This Row],[Input Type]], 0=Devices[[#This Row],[Input Type]]),Devices[[#This Row],[Row Num]], " ")</f>
        <v xml:space="preserve"> </v>
      </c>
      <c r="AB72" s="245" t="str">
        <f>IF(OR($AN$20=Devices[[#This Row],[Input Type]], 0=Devices[[#This Row],[Input Type]]),Devices[[#This Row],[Row Num]], " ")</f>
        <v xml:space="preserve"> </v>
      </c>
      <c r="AC72" s="245" t="str">
        <f>IF(0=Devices[[#This Row],[Input Type]], Devices[[#This Row],[Row Num]], " ")</f>
        <v xml:space="preserve"> </v>
      </c>
      <c r="AD72" s="245">
        <f>IFERROR(SMALL(Devices[Row Sel D], Devices[[#This Row],[Row Num]]), " ")</f>
        <v>93</v>
      </c>
      <c r="AE72" s="245" t="str">
        <f>IFERROR(SMALL(Devices[Row Sel IntRdiv], Devices[[#This Row],[Row Num]]), " ")</f>
        <v xml:space="preserve"> </v>
      </c>
      <c r="AF72" s="245" t="str">
        <f>IFERROR(SMALL(Devices[Row Sel SE], Devices[[#This Row],[Row Num]]), " ")</f>
        <v xml:space="preserve"> </v>
      </c>
      <c r="AG72" s="245" t="str">
        <f>IFERROR(SMALL(Devices[Row Sel N], Devices[[#This Row],[Row Num]]), " ")</f>
        <v xml:space="preserve"> </v>
      </c>
      <c r="AH72" s="245">
        <f>IFERROR(INDEX(Devices[Part], Devices[[#This Row],[Sel D]], 1), "")</f>
        <v>0</v>
      </c>
      <c r="AI72" s="245" t="str">
        <f>IFERROR(INDEX(Devices[Part], Devices[[#This Row],[Sel IntRdiv]], 1), "")</f>
        <v/>
      </c>
      <c r="AJ72" s="245" t="str">
        <f>IFERROR(INDEX(Devices[Part], Devices[[#This Row],[Sel SE]], 1), "")</f>
        <v/>
      </c>
      <c r="AK72" s="245" t="str">
        <f>IFERROR(INDEX(Devices[Part], Devices[[#This Row],[Sel N]], 1), "")</f>
        <v/>
      </c>
      <c r="AM72" s="246"/>
    </row>
    <row r="73" spans="1:39" ht="15" customHeight="1">
      <c r="A73" s="247" t="s">
        <v>109</v>
      </c>
      <c r="B73" s="396" t="s">
        <v>51</v>
      </c>
      <c r="C73" s="352" t="s">
        <v>51</v>
      </c>
      <c r="D73" s="272">
        <v>4.0000000000000002E-4</v>
      </c>
      <c r="E73" s="290">
        <v>2E-3</v>
      </c>
      <c r="F73" s="250">
        <v>3</v>
      </c>
      <c r="G73" s="250">
        <v>35</v>
      </c>
      <c r="H73" s="291">
        <v>2.5000000000000001E-3</v>
      </c>
      <c r="I73" s="292">
        <v>0.05</v>
      </c>
      <c r="J73" s="293">
        <v>0.15</v>
      </c>
      <c r="K73" s="293">
        <v>0.8</v>
      </c>
      <c r="L73" s="290">
        <v>1E-4</v>
      </c>
      <c r="M73" s="290">
        <v>2.9999999999999997E-4</v>
      </c>
      <c r="N73" s="294">
        <v>1</v>
      </c>
      <c r="O73" s="294">
        <v>3</v>
      </c>
      <c r="P73" s="295">
        <v>50</v>
      </c>
      <c r="Q73" s="397" t="s">
        <v>459</v>
      </c>
      <c r="R73" s="254">
        <v>-55</v>
      </c>
      <c r="S73" s="254">
        <v>125</v>
      </c>
      <c r="T73" s="257">
        <v>2500</v>
      </c>
      <c r="U73" s="296">
        <v>4750</v>
      </c>
      <c r="V73" s="255">
        <v>4900</v>
      </c>
      <c r="W73" s="435">
        <v>41</v>
      </c>
      <c r="X73" s="297">
        <v>36</v>
      </c>
      <c r="Y73" s="245">
        <f t="shared" si="0"/>
        <v>67</v>
      </c>
      <c r="Z73" s="245">
        <f>IF(OR($AN$18=Devices[[#This Row],[Input Type]], 0=Devices[[#This Row],[Input Type]]),Devices[[#This Row],[Row Num]], " ")</f>
        <v>67</v>
      </c>
      <c r="AA73" s="245" t="str">
        <f>IF(OR($AN$19=Devices[[#This Row],[Input Type]], 0=Devices[[#This Row],[Input Type]]),Devices[[#This Row],[Row Num]], " ")</f>
        <v xml:space="preserve"> </v>
      </c>
      <c r="AB73" s="245" t="str">
        <f>IF(OR($AN$20=Devices[[#This Row],[Input Type]], 0=Devices[[#This Row],[Input Type]]),Devices[[#This Row],[Row Num]], " ")</f>
        <v xml:space="preserve"> </v>
      </c>
      <c r="AC73" s="245" t="str">
        <f>IF(0=Devices[[#This Row],[Input Type]], Devices[[#This Row],[Row Num]], " ")</f>
        <v xml:space="preserve"> </v>
      </c>
      <c r="AD73" s="245">
        <f>IFERROR(SMALL(Devices[Row Sel D], Devices[[#This Row],[Row Num]]), " ")</f>
        <v>94</v>
      </c>
      <c r="AE73" s="245" t="str">
        <f>IFERROR(SMALL(Devices[Row Sel IntRdiv], Devices[[#This Row],[Row Num]]), " ")</f>
        <v xml:space="preserve"> </v>
      </c>
      <c r="AF73" s="245" t="str">
        <f>IFERROR(SMALL(Devices[Row Sel SE], Devices[[#This Row],[Row Num]]), " ")</f>
        <v xml:space="preserve"> </v>
      </c>
      <c r="AG73" s="245" t="str">
        <f>IFERROR(SMALL(Devices[Row Sel N], Devices[[#This Row],[Row Num]]), " ")</f>
        <v xml:space="preserve"> </v>
      </c>
      <c r="AH73" s="245">
        <f>IFERROR(INDEX(Devices[Part], Devices[[#This Row],[Sel D]], 1), "")</f>
        <v>0</v>
      </c>
      <c r="AI73" s="245" t="str">
        <f>IFERROR(INDEX(Devices[Part], Devices[[#This Row],[Sel IntRdiv]], 1), "")</f>
        <v/>
      </c>
      <c r="AJ73" s="245" t="str">
        <f>IFERROR(INDEX(Devices[Part], Devices[[#This Row],[Sel SE]], 1), "")</f>
        <v/>
      </c>
      <c r="AK73" s="245" t="str">
        <f>IFERROR(INDEX(Devices[Part], Devices[[#This Row],[Sel N]], 1), "")</f>
        <v/>
      </c>
    </row>
    <row r="74" spans="1:39" ht="15" customHeight="1">
      <c r="A74" s="289" t="s">
        <v>44</v>
      </c>
      <c r="B74" s="396" t="s">
        <v>52</v>
      </c>
      <c r="C74" s="352" t="s">
        <v>51</v>
      </c>
      <c r="D74" s="298">
        <v>4.0000000000000001E-3</v>
      </c>
      <c r="E74" s="298">
        <v>0.01</v>
      </c>
      <c r="F74" s="299">
        <v>30</v>
      </c>
      <c r="G74" s="299">
        <v>90</v>
      </c>
      <c r="H74" s="300">
        <v>0.4</v>
      </c>
      <c r="I74" s="301">
        <v>9.9</v>
      </c>
      <c r="J74" s="302">
        <v>20</v>
      </c>
      <c r="K74" s="302">
        <v>60</v>
      </c>
      <c r="L74" s="298">
        <v>1E-4</v>
      </c>
      <c r="M74" s="298">
        <v>4.0000000000000002E-4</v>
      </c>
      <c r="N74" s="299">
        <v>1</v>
      </c>
      <c r="O74" s="299">
        <v>3</v>
      </c>
      <c r="P74" s="303">
        <v>2000</v>
      </c>
      <c r="Q74" s="397" t="s">
        <v>460</v>
      </c>
      <c r="R74" s="254">
        <v>-40</v>
      </c>
      <c r="S74" s="254">
        <v>125</v>
      </c>
      <c r="T74" s="304"/>
      <c r="U74" s="305">
        <v>1000000000</v>
      </c>
      <c r="V74" s="255">
        <v>1000000000</v>
      </c>
      <c r="W74" s="435">
        <v>1</v>
      </c>
      <c r="X74" s="263">
        <v>3.5000000000000001E-3</v>
      </c>
      <c r="Y74" s="264">
        <f>ROW()-6</f>
        <v>68</v>
      </c>
      <c r="Z74" s="264" t="str">
        <f>IF(OR($AN$18=Devices[[#This Row],[Input Type]], 0=Devices[[#This Row],[Input Type]]),Devices[[#This Row],[Row Num]], " ")</f>
        <v xml:space="preserve"> </v>
      </c>
      <c r="AA74" s="264" t="str">
        <f>IF(OR($AN$19=Devices[[#This Row],[Input Type]], 0=Devices[[#This Row],[Input Type]]),Devices[[#This Row],[Row Num]], " ")</f>
        <v xml:space="preserve"> </v>
      </c>
      <c r="AB74" s="264">
        <f>IF(OR($AN$20=Devices[[#This Row],[Input Type]], 0=Devices[[#This Row],[Input Type]]),Devices[[#This Row],[Row Num]], " ")</f>
        <v>68</v>
      </c>
      <c r="AC74" s="264" t="str">
        <f>IF(0=Devices[[#This Row],[Input Type]], Devices[[#This Row],[Row Num]], " ")</f>
        <v xml:space="preserve"> </v>
      </c>
      <c r="AD74" s="264">
        <f>IFERROR(SMALL(Devices[Row Sel D], Devices[[#This Row],[Row Num]]), " ")</f>
        <v>95</v>
      </c>
      <c r="AE74" s="264" t="str">
        <f>IFERROR(SMALL(Devices[Row Sel IntRdiv], Devices[[#This Row],[Row Num]]), " ")</f>
        <v xml:space="preserve"> </v>
      </c>
      <c r="AF74" s="264" t="str">
        <f>IFERROR(SMALL(Devices[Row Sel SE], Devices[[#This Row],[Row Num]]), " ")</f>
        <v xml:space="preserve"> </v>
      </c>
      <c r="AG74" s="264" t="str">
        <f>IFERROR(SMALL(Devices[Row Sel N], Devices[[#This Row],[Row Num]]), " ")</f>
        <v xml:space="preserve"> </v>
      </c>
      <c r="AH74" s="264">
        <f>IFERROR(INDEX(Devices[Part], Devices[[#This Row],[Sel D]], 1), "")</f>
        <v>0</v>
      </c>
      <c r="AI74" s="264" t="str">
        <f>IFERROR(INDEX(Devices[Part], Devices[[#This Row],[Sel IntRdiv]], 1), "")</f>
        <v/>
      </c>
      <c r="AJ74" s="264" t="str">
        <f>IFERROR(INDEX(Devices[Part], Devices[[#This Row],[Sel SE]], 1), "")</f>
        <v/>
      </c>
      <c r="AK74" s="264" t="str">
        <f>IFERROR(INDEX(Devices[Part], Devices[[#This Row],[Sel N]], 1), "")</f>
        <v/>
      </c>
    </row>
    <row r="75" spans="1:39" ht="15" customHeight="1">
      <c r="A75" s="306" t="s">
        <v>74</v>
      </c>
      <c r="B75" s="396" t="s">
        <v>52</v>
      </c>
      <c r="C75" s="352" t="s">
        <v>51</v>
      </c>
      <c r="D75" s="272">
        <v>5.0000000000000001E-4</v>
      </c>
      <c r="E75" s="283">
        <v>2E-3</v>
      </c>
      <c r="F75" s="284">
        <v>5</v>
      </c>
      <c r="G75" s="284">
        <v>40</v>
      </c>
      <c r="H75" s="307">
        <v>0.4</v>
      </c>
      <c r="I75" s="285">
        <v>1.5</v>
      </c>
      <c r="J75" s="286">
        <v>3</v>
      </c>
      <c r="K75" s="286">
        <v>10</v>
      </c>
      <c r="L75" s="283">
        <v>1E-4</v>
      </c>
      <c r="M75" s="283">
        <v>4.0000000000000002E-4</v>
      </c>
      <c r="N75" s="284">
        <v>1</v>
      </c>
      <c r="O75" s="284">
        <v>3</v>
      </c>
      <c r="P75" s="287">
        <v>2000</v>
      </c>
      <c r="Q75" s="397" t="s">
        <v>460</v>
      </c>
      <c r="R75" s="254">
        <v>-55</v>
      </c>
      <c r="S75" s="254">
        <v>125</v>
      </c>
      <c r="T75" s="256"/>
      <c r="U75" s="257">
        <v>1000000000</v>
      </c>
      <c r="V75" s="255">
        <v>1000000000</v>
      </c>
      <c r="W75" s="435">
        <v>1</v>
      </c>
      <c r="X75" s="308">
        <v>3.5000000000000001E-3</v>
      </c>
      <c r="Y75" s="264">
        <f>ROW()-6</f>
        <v>69</v>
      </c>
      <c r="Z75" s="264" t="str">
        <f>IF(OR($AN$18=Devices[[#This Row],[Input Type]], 0=Devices[[#This Row],[Input Type]]),Devices[[#This Row],[Row Num]], " ")</f>
        <v xml:space="preserve"> </v>
      </c>
      <c r="AA75" s="264" t="str">
        <f>IF(OR($AN$19=Devices[[#This Row],[Input Type]], 0=Devices[[#This Row],[Input Type]]),Devices[[#This Row],[Row Num]], " ")</f>
        <v xml:space="preserve"> </v>
      </c>
      <c r="AB75" s="264">
        <f>IF(OR($AN$20=Devices[[#This Row],[Input Type]], 0=Devices[[#This Row],[Input Type]]),Devices[[#This Row],[Row Num]], " ")</f>
        <v>69</v>
      </c>
      <c r="AC75" s="264" t="str">
        <f>IF(0=Devices[[#This Row],[Input Type]], Devices[[#This Row],[Row Num]], " ")</f>
        <v xml:space="preserve"> </v>
      </c>
      <c r="AD75" s="264">
        <f>IFERROR(SMALL(Devices[Row Sel D], Devices[[#This Row],[Row Num]]), " ")</f>
        <v>96</v>
      </c>
      <c r="AE75" s="264" t="str">
        <f>IFERROR(SMALL(Devices[Row Sel IntRdiv], Devices[[#This Row],[Row Num]]), " ")</f>
        <v xml:space="preserve"> </v>
      </c>
      <c r="AF75" s="264" t="str">
        <f>IFERROR(SMALL(Devices[Row Sel SE], Devices[[#This Row],[Row Num]]), " ")</f>
        <v xml:space="preserve"> </v>
      </c>
      <c r="AG75" s="264" t="str">
        <f>IFERROR(SMALL(Devices[Row Sel N], Devices[[#This Row],[Row Num]]), " ")</f>
        <v xml:space="preserve"> </v>
      </c>
      <c r="AH75" s="264">
        <f>IFERROR(INDEX(Devices[Part], Devices[[#This Row],[Sel D]], 1), "")</f>
        <v>0</v>
      </c>
      <c r="AI75" s="264" t="str">
        <f>IFERROR(INDEX(Devices[Part], Devices[[#This Row],[Sel IntRdiv]], 1), "")</f>
        <v/>
      </c>
      <c r="AJ75" s="264" t="str">
        <f>IFERROR(INDEX(Devices[Part], Devices[[#This Row],[Sel SE]], 1), "")</f>
        <v/>
      </c>
      <c r="AK75" s="264" t="str">
        <f>IFERROR(INDEX(Devices[Part], Devices[[#This Row],[Sel N]], 1), "")</f>
        <v/>
      </c>
      <c r="AM75" s="246"/>
    </row>
    <row r="76" spans="1:39" ht="15" customHeight="1">
      <c r="A76" s="289" t="s">
        <v>45</v>
      </c>
      <c r="B76" s="396" t="s">
        <v>52</v>
      </c>
      <c r="C76" s="352" t="s">
        <v>51</v>
      </c>
      <c r="D76" s="309">
        <v>4.0000000000000001E-3</v>
      </c>
      <c r="E76" s="298">
        <v>0.01</v>
      </c>
      <c r="F76" s="299">
        <v>30</v>
      </c>
      <c r="G76" s="299">
        <v>90</v>
      </c>
      <c r="H76" s="300">
        <v>0.4</v>
      </c>
      <c r="I76" s="301">
        <v>9.9</v>
      </c>
      <c r="J76" s="302">
        <v>20</v>
      </c>
      <c r="K76" s="302">
        <v>60</v>
      </c>
      <c r="L76" s="298">
        <v>1E-4</v>
      </c>
      <c r="M76" s="298">
        <v>4.0000000000000002E-4</v>
      </c>
      <c r="N76" s="299">
        <v>1</v>
      </c>
      <c r="O76" s="299">
        <v>3</v>
      </c>
      <c r="P76" s="303">
        <v>2000</v>
      </c>
      <c r="Q76" s="397" t="s">
        <v>460</v>
      </c>
      <c r="R76" s="282">
        <v>-40</v>
      </c>
      <c r="S76" s="282">
        <v>125</v>
      </c>
      <c r="T76" s="304"/>
      <c r="U76" s="305">
        <v>1000000000</v>
      </c>
      <c r="V76" s="255">
        <v>1000000000</v>
      </c>
      <c r="W76" s="435">
        <v>1</v>
      </c>
      <c r="X76" s="263">
        <v>3.5000000000000001E-3</v>
      </c>
      <c r="Y76" s="264">
        <f>ROW()-6</f>
        <v>70</v>
      </c>
      <c r="Z76" s="264" t="str">
        <f>IF(OR($AN$18=Devices[[#This Row],[Input Type]], 0=Devices[[#This Row],[Input Type]]),Devices[[#This Row],[Row Num]], " ")</f>
        <v xml:space="preserve"> </v>
      </c>
      <c r="AA76" s="264" t="str">
        <f>IF(OR($AN$19=Devices[[#This Row],[Input Type]], 0=Devices[[#This Row],[Input Type]]),Devices[[#This Row],[Row Num]], " ")</f>
        <v xml:space="preserve"> </v>
      </c>
      <c r="AB76" s="264">
        <f>IF(OR($AN$20=Devices[[#This Row],[Input Type]], 0=Devices[[#This Row],[Input Type]]),Devices[[#This Row],[Row Num]], " ")</f>
        <v>70</v>
      </c>
      <c r="AC76" s="264" t="str">
        <f>IF(0=Devices[[#This Row],[Input Type]], Devices[[#This Row],[Row Num]], " ")</f>
        <v xml:space="preserve"> </v>
      </c>
      <c r="AD76" s="264">
        <f>IFERROR(SMALL(Devices[Row Sel D], Devices[[#This Row],[Row Num]]), " ")</f>
        <v>97</v>
      </c>
      <c r="AE76" s="264" t="str">
        <f>IFERROR(SMALL(Devices[Row Sel IntRdiv], Devices[[#This Row],[Row Num]]), " ")</f>
        <v xml:space="preserve"> </v>
      </c>
      <c r="AF76" s="264" t="str">
        <f>IFERROR(SMALL(Devices[Row Sel SE], Devices[[#This Row],[Row Num]]), " ")</f>
        <v xml:space="preserve"> </v>
      </c>
      <c r="AG76" s="264" t="str">
        <f>IFERROR(SMALL(Devices[Row Sel N], Devices[[#This Row],[Row Num]]), " ")</f>
        <v xml:space="preserve"> </v>
      </c>
      <c r="AH76" s="264">
        <f>IFERROR(INDEX(Devices[Part], Devices[[#This Row],[Sel D]], 1), "")</f>
        <v>0</v>
      </c>
      <c r="AI76" s="264" t="str">
        <f>IFERROR(INDEX(Devices[Part], Devices[[#This Row],[Sel IntRdiv]], 1), "")</f>
        <v/>
      </c>
      <c r="AJ76" s="264" t="str">
        <f>IFERROR(INDEX(Devices[Part], Devices[[#This Row],[Sel SE]], 1), "")</f>
        <v/>
      </c>
      <c r="AK76" s="264" t="str">
        <f>IFERROR(INDEX(Devices[Part], Devices[[#This Row],[Sel N]], 1), "")</f>
        <v/>
      </c>
    </row>
    <row r="77" spans="1:39" ht="15" customHeight="1">
      <c r="A77" s="306" t="s">
        <v>75</v>
      </c>
      <c r="B77" s="396" t="s">
        <v>52</v>
      </c>
      <c r="C77" s="352" t="s">
        <v>51</v>
      </c>
      <c r="D77" s="272">
        <v>5.0000000000000001E-4</v>
      </c>
      <c r="E77" s="283">
        <v>2E-3</v>
      </c>
      <c r="F77" s="284">
        <v>5</v>
      </c>
      <c r="G77" s="284">
        <v>40</v>
      </c>
      <c r="H77" s="307">
        <v>0.4</v>
      </c>
      <c r="I77" s="285">
        <v>1.5</v>
      </c>
      <c r="J77" s="286">
        <v>3</v>
      </c>
      <c r="K77" s="286">
        <v>10</v>
      </c>
      <c r="L77" s="283">
        <v>1E-4</v>
      </c>
      <c r="M77" s="283">
        <v>4.0000000000000002E-4</v>
      </c>
      <c r="N77" s="284">
        <v>1</v>
      </c>
      <c r="O77" s="284">
        <v>3</v>
      </c>
      <c r="P77" s="287">
        <v>2000</v>
      </c>
      <c r="Q77" s="397" t="s">
        <v>461</v>
      </c>
      <c r="R77" s="254">
        <v>-40</v>
      </c>
      <c r="S77" s="254">
        <v>125</v>
      </c>
      <c r="T77" s="256"/>
      <c r="U77" s="305">
        <v>1000000000</v>
      </c>
      <c r="V77" s="255">
        <v>1000000000</v>
      </c>
      <c r="W77" s="435">
        <v>1</v>
      </c>
      <c r="X77" s="263">
        <v>3.5000000000000001E-3</v>
      </c>
      <c r="Y77" s="264">
        <f>ROW()-6</f>
        <v>71</v>
      </c>
      <c r="Z77" s="264" t="str">
        <f>IF(OR($AN$18=Devices[[#This Row],[Input Type]], 0=Devices[[#This Row],[Input Type]]),Devices[[#This Row],[Row Num]], " ")</f>
        <v xml:space="preserve"> </v>
      </c>
      <c r="AA77" s="264" t="str">
        <f>IF(OR($AN$19=Devices[[#This Row],[Input Type]], 0=Devices[[#This Row],[Input Type]]),Devices[[#This Row],[Row Num]], " ")</f>
        <v xml:space="preserve"> </v>
      </c>
      <c r="AB77" s="264">
        <f>IF(OR($AN$20=Devices[[#This Row],[Input Type]], 0=Devices[[#This Row],[Input Type]]),Devices[[#This Row],[Row Num]], " ")</f>
        <v>71</v>
      </c>
      <c r="AC77" s="264" t="str">
        <f>IF(0=Devices[[#This Row],[Input Type]], Devices[[#This Row],[Row Num]], " ")</f>
        <v xml:space="preserve"> </v>
      </c>
      <c r="AD77" s="264">
        <f>IFERROR(SMALL(Devices[Row Sel D], Devices[[#This Row],[Row Num]]), " ")</f>
        <v>98</v>
      </c>
      <c r="AE77" s="264" t="str">
        <f>IFERROR(SMALL(Devices[Row Sel IntRdiv], Devices[[#This Row],[Row Num]]), " ")</f>
        <v xml:space="preserve"> </v>
      </c>
      <c r="AF77" s="264" t="str">
        <f>IFERROR(SMALL(Devices[Row Sel SE], Devices[[#This Row],[Row Num]]), " ")</f>
        <v xml:space="preserve"> </v>
      </c>
      <c r="AG77" s="264" t="str">
        <f>IFERROR(SMALL(Devices[Row Sel N], Devices[[#This Row],[Row Num]]), " ")</f>
        <v xml:space="preserve"> </v>
      </c>
      <c r="AH77" s="264">
        <f>IFERROR(INDEX(Devices[Part], Devices[[#This Row],[Sel D]], 1), "")</f>
        <v>0</v>
      </c>
      <c r="AI77" s="264" t="str">
        <f>IFERROR(INDEX(Devices[Part], Devices[[#This Row],[Sel IntRdiv]], 1), "")</f>
        <v/>
      </c>
      <c r="AJ77" s="264" t="str">
        <f>IFERROR(INDEX(Devices[Part], Devices[[#This Row],[Sel SE]], 1), "")</f>
        <v/>
      </c>
      <c r="AK77" s="264" t="str">
        <f>IFERROR(INDEX(Devices[Part], Devices[[#This Row],[Sel N]], 1), "")</f>
        <v/>
      </c>
    </row>
    <row r="78" spans="1:39" ht="15" customHeight="1">
      <c r="A78" s="281" t="s">
        <v>218</v>
      </c>
      <c r="B78" s="396" t="s">
        <v>51</v>
      </c>
      <c r="C78" s="352" t="s">
        <v>51</v>
      </c>
      <c r="D78" s="249">
        <v>5.0000000000000001E-4</v>
      </c>
      <c r="E78" s="249">
        <v>2E-3</v>
      </c>
      <c r="F78" s="250">
        <v>10</v>
      </c>
      <c r="G78" s="250">
        <v>35</v>
      </c>
      <c r="H78" s="251">
        <v>0.4</v>
      </c>
      <c r="I78" s="251">
        <v>1.5</v>
      </c>
      <c r="J78" s="252">
        <v>3</v>
      </c>
      <c r="K78" s="252">
        <v>10</v>
      </c>
      <c r="L78" s="249">
        <v>3.0000000000000001E-5</v>
      </c>
      <c r="M78" s="249">
        <v>1E-4</v>
      </c>
      <c r="N78" s="250">
        <v>1</v>
      </c>
      <c r="O78" s="250">
        <v>3</v>
      </c>
      <c r="P78" s="253">
        <v>5000</v>
      </c>
      <c r="Q78" s="397" t="s">
        <v>460</v>
      </c>
      <c r="R78" s="282">
        <v>-40</v>
      </c>
      <c r="S78" s="282">
        <v>125</v>
      </c>
      <c r="T78" s="255"/>
      <c r="U78" s="255">
        <v>1250000</v>
      </c>
      <c r="V78" s="255">
        <v>2500000</v>
      </c>
      <c r="W78" s="435">
        <v>0.4</v>
      </c>
      <c r="X78" s="310">
        <v>0</v>
      </c>
      <c r="Y78" s="245">
        <f t="shared" si="0"/>
        <v>72</v>
      </c>
      <c r="Z78" s="245">
        <f>IF(OR($AN$18=Devices[[#This Row],[Input Type]], 0=Devices[[#This Row],[Input Type]]),Devices[[#This Row],[Row Num]], " ")</f>
        <v>72</v>
      </c>
      <c r="AA78" s="245" t="str">
        <f>IF(OR($AN$19=Devices[[#This Row],[Input Type]], 0=Devices[[#This Row],[Input Type]]),Devices[[#This Row],[Row Num]], " ")</f>
        <v xml:space="preserve"> </v>
      </c>
      <c r="AB78" s="245" t="str">
        <f>IF(OR($AN$20=Devices[[#This Row],[Input Type]], 0=Devices[[#This Row],[Input Type]]),Devices[[#This Row],[Row Num]], " ")</f>
        <v xml:space="preserve"> </v>
      </c>
      <c r="AC78" s="245" t="str">
        <f>IF(0=Devices[[#This Row],[Input Type]], Devices[[#This Row],[Row Num]], " ")</f>
        <v xml:space="preserve"> </v>
      </c>
      <c r="AD78" s="245">
        <f>IFERROR(SMALL(Devices[Row Sel D], Devices[[#This Row],[Row Num]]), " ")</f>
        <v>99</v>
      </c>
      <c r="AE78" s="245" t="str">
        <f>IFERROR(SMALL(Devices[Row Sel IntRdiv], Devices[[#This Row],[Row Num]]), " ")</f>
        <v xml:space="preserve"> </v>
      </c>
      <c r="AF78" s="245" t="str">
        <f>IFERROR(SMALL(Devices[Row Sel SE], Devices[[#This Row],[Row Num]]), " ")</f>
        <v xml:space="preserve"> </v>
      </c>
      <c r="AG78" s="260" t="str">
        <f>IFERROR(SMALL(Devices[Row Sel N], Devices[[#This Row],[Row Num]]), " ")</f>
        <v xml:space="preserve"> </v>
      </c>
      <c r="AH78" s="245">
        <f>IFERROR(INDEX(Devices[Part], Devices[[#This Row],[Sel D]], 1), "")</f>
        <v>0</v>
      </c>
      <c r="AI78" s="245" t="str">
        <f>IFERROR(INDEX(Devices[Part], Devices[[#This Row],[Sel IntRdiv]], 1), "")</f>
        <v/>
      </c>
      <c r="AJ78" s="245" t="str">
        <f>IFERROR(INDEX(Devices[Part], Devices[[#This Row],[Sel SE]], 1), "")</f>
        <v/>
      </c>
      <c r="AK78" s="245" t="str">
        <f>IFERROR(INDEX(Devices[Part], Devices[[#This Row],[Sel N]], 1), "")</f>
        <v/>
      </c>
      <c r="AM78" s="246"/>
    </row>
    <row r="79" spans="1:39" ht="15" customHeight="1">
      <c r="A79" s="247" t="s">
        <v>219</v>
      </c>
      <c r="B79" s="396" t="s">
        <v>52</v>
      </c>
      <c r="C79" s="352" t="s">
        <v>51</v>
      </c>
      <c r="D79" s="249">
        <v>5.0000000000000001E-4</v>
      </c>
      <c r="E79" s="249">
        <v>2E-3</v>
      </c>
      <c r="F79" s="250">
        <v>10</v>
      </c>
      <c r="G79" s="250">
        <v>35</v>
      </c>
      <c r="H79" s="251">
        <v>0.4</v>
      </c>
      <c r="I79" s="251">
        <v>1.5</v>
      </c>
      <c r="J79" s="252">
        <v>3</v>
      </c>
      <c r="K79" s="252">
        <v>10</v>
      </c>
      <c r="L79" s="249">
        <v>3.0000000000000001E-5</v>
      </c>
      <c r="M79" s="249">
        <v>1E-4</v>
      </c>
      <c r="N79" s="250">
        <v>1</v>
      </c>
      <c r="O79" s="250">
        <v>3</v>
      </c>
      <c r="P79" s="253">
        <v>5000</v>
      </c>
      <c r="Q79" s="397" t="s">
        <v>460</v>
      </c>
      <c r="R79" s="254">
        <v>-40</v>
      </c>
      <c r="S79" s="254">
        <v>125</v>
      </c>
      <c r="T79" s="255"/>
      <c r="U79" s="255">
        <v>1250000</v>
      </c>
      <c r="V79" s="255">
        <v>2500000</v>
      </c>
      <c r="W79" s="435">
        <v>0.4</v>
      </c>
      <c r="X79" s="310">
        <v>0</v>
      </c>
      <c r="Y79" s="264">
        <f>ROW()-6</f>
        <v>73</v>
      </c>
      <c r="Z79" s="264" t="str">
        <f>IF(OR($AN$18=Devices[[#This Row],[Input Type]], 0=Devices[[#This Row],[Input Type]]),Devices[[#This Row],[Row Num]], " ")</f>
        <v xml:space="preserve"> </v>
      </c>
      <c r="AA79" s="264" t="str">
        <f>IF(OR($AN$19=Devices[[#This Row],[Input Type]], 0=Devices[[#This Row],[Input Type]]),Devices[[#This Row],[Row Num]], " ")</f>
        <v xml:space="preserve"> </v>
      </c>
      <c r="AB79" s="264">
        <f>IF(OR($AN$20=Devices[[#This Row],[Input Type]], 0=Devices[[#This Row],[Input Type]]),Devices[[#This Row],[Row Num]], " ")</f>
        <v>73</v>
      </c>
      <c r="AC79" s="264" t="str">
        <f>IF(0=Devices[[#This Row],[Input Type]], Devices[[#This Row],[Row Num]], " ")</f>
        <v xml:space="preserve"> </v>
      </c>
      <c r="AD79" s="264">
        <f>IFERROR(SMALL(Devices[Row Sel D], Devices[[#This Row],[Row Num]]), " ")</f>
        <v>100</v>
      </c>
      <c r="AE79" s="264" t="str">
        <f>IFERROR(SMALL(Devices[Row Sel IntRdiv], Devices[[#This Row],[Row Num]]), " ")</f>
        <v xml:space="preserve"> </v>
      </c>
      <c r="AF79" s="264" t="str">
        <f>IFERROR(SMALL(Devices[Row Sel SE], Devices[[#This Row],[Row Num]]), " ")</f>
        <v xml:space="preserve"> </v>
      </c>
      <c r="AG79" s="264" t="str">
        <f>IFERROR(SMALL(Devices[Row Sel N], Devices[[#This Row],[Row Num]]), " ")</f>
        <v xml:space="preserve"> </v>
      </c>
      <c r="AH79" s="264">
        <f>IFERROR(INDEX(Devices[Part], Devices[[#This Row],[Sel D]], 1), "")</f>
        <v>0</v>
      </c>
      <c r="AI79" s="264" t="str">
        <f>IFERROR(INDEX(Devices[Part], Devices[[#This Row],[Sel IntRdiv]], 1), "")</f>
        <v/>
      </c>
      <c r="AJ79" s="264" t="str">
        <f>IFERROR(INDEX(Devices[Part], Devices[[#This Row],[Sel SE]], 1), "")</f>
        <v/>
      </c>
      <c r="AK79" s="264" t="str">
        <f>IFERROR(INDEX(Devices[Part], Devices[[#This Row],[Sel N]], 1), "")</f>
        <v/>
      </c>
    </row>
    <row r="80" spans="1:39" ht="15" customHeight="1">
      <c r="A80" s="247" t="s">
        <v>217</v>
      </c>
      <c r="B80" s="396" t="s">
        <v>51</v>
      </c>
      <c r="C80" s="352" t="s">
        <v>51</v>
      </c>
      <c r="D80" s="272">
        <v>4.0000000000000002E-4</v>
      </c>
      <c r="E80" s="272">
        <v>3.0000000000000001E-3</v>
      </c>
      <c r="F80" s="273">
        <v>5</v>
      </c>
      <c r="G80" s="273">
        <v>30</v>
      </c>
      <c r="H80" s="274">
        <v>0.01</v>
      </c>
      <c r="I80" s="274">
        <v>0.2</v>
      </c>
      <c r="J80" s="275">
        <v>0.1</v>
      </c>
      <c r="K80" s="275">
        <v>0.9</v>
      </c>
      <c r="L80" s="272">
        <v>1E-4</v>
      </c>
      <c r="M80" s="272">
        <v>2.9999999999999997E-4</v>
      </c>
      <c r="N80" s="273">
        <v>0.4</v>
      </c>
      <c r="O80" s="273">
        <v>1.2</v>
      </c>
      <c r="P80" s="276">
        <v>250</v>
      </c>
      <c r="Q80" s="397" t="s">
        <v>459</v>
      </c>
      <c r="R80" s="282">
        <v>-40</v>
      </c>
      <c r="S80" s="282">
        <v>125</v>
      </c>
      <c r="T80" s="256">
        <v>12500</v>
      </c>
      <c r="U80" s="256">
        <v>19000</v>
      </c>
      <c r="V80" s="255">
        <v>22000</v>
      </c>
      <c r="W80" s="435">
        <v>8.1999999999999993</v>
      </c>
      <c r="X80" s="259">
        <v>30</v>
      </c>
      <c r="Y80" s="264">
        <f>ROW()-6</f>
        <v>74</v>
      </c>
      <c r="Z80" s="264">
        <f>IF(OR($AN$18=Devices[[#This Row],[Input Type]], 0=Devices[[#This Row],[Input Type]]),Devices[[#This Row],[Row Num]], " ")</f>
        <v>74</v>
      </c>
      <c r="AA80" s="264" t="str">
        <f>IF(OR($AN$19=Devices[[#This Row],[Input Type]], 0=Devices[[#This Row],[Input Type]]),Devices[[#This Row],[Row Num]], " ")</f>
        <v xml:space="preserve"> </v>
      </c>
      <c r="AB80" s="264" t="str">
        <f>IF(OR($AN$20=Devices[[#This Row],[Input Type]], 0=Devices[[#This Row],[Input Type]]),Devices[[#This Row],[Row Num]], " ")</f>
        <v xml:space="preserve"> </v>
      </c>
      <c r="AC80" s="264" t="str">
        <f>IF(0=Devices[[#This Row],[Input Type]], Devices[[#This Row],[Row Num]], " ")</f>
        <v xml:space="preserve"> </v>
      </c>
      <c r="AD80" s="264">
        <f>IFERROR(SMALL(Devices[Row Sel D], Devices[[#This Row],[Row Num]]), " ")</f>
        <v>101</v>
      </c>
      <c r="AE80" s="264" t="str">
        <f>IFERROR(SMALL(Devices[Row Sel IntRdiv], Devices[[#This Row],[Row Num]]), " ")</f>
        <v xml:space="preserve"> </v>
      </c>
      <c r="AF80" s="264" t="str">
        <f>IFERROR(SMALL(Devices[Row Sel SE], Devices[[#This Row],[Row Num]]), " ")</f>
        <v xml:space="preserve"> </v>
      </c>
      <c r="AG80" s="264" t="str">
        <f>IFERROR(SMALL(Devices[Row Sel N], Devices[[#This Row],[Row Num]]), " ")</f>
        <v xml:space="preserve"> </v>
      </c>
      <c r="AH80" s="264">
        <f>IFERROR(INDEX(Devices[Part], Devices[[#This Row],[Sel D]], 1), "")</f>
        <v>0</v>
      </c>
      <c r="AI80" s="264" t="str">
        <f>IFERROR(INDEX(Devices[Part], Devices[[#This Row],[Sel IntRdiv]], 1), "")</f>
        <v/>
      </c>
      <c r="AJ80" s="264" t="str">
        <f>IFERROR(INDEX(Devices[Part], Devices[[#This Row],[Sel SE]], 1), "")</f>
        <v/>
      </c>
      <c r="AK80" s="264" t="str">
        <f>IFERROR(INDEX(Devices[Part], Devices[[#This Row],[Sel N]], 1), "")</f>
        <v/>
      </c>
    </row>
    <row r="81" spans="1:39" ht="15" customHeight="1">
      <c r="A81" s="247" t="s">
        <v>216</v>
      </c>
      <c r="B81" s="396" t="s">
        <v>52</v>
      </c>
      <c r="C81" s="352" t="s">
        <v>51</v>
      </c>
      <c r="D81" s="249">
        <v>5.0000000000000001E-4</v>
      </c>
      <c r="E81" s="249">
        <v>2E-3</v>
      </c>
      <c r="F81" s="250">
        <v>5</v>
      </c>
      <c r="G81" s="250">
        <v>40</v>
      </c>
      <c r="H81" s="251">
        <v>0.4</v>
      </c>
      <c r="I81" s="251">
        <v>1.5</v>
      </c>
      <c r="J81" s="252">
        <v>3</v>
      </c>
      <c r="K81" s="252">
        <v>10</v>
      </c>
      <c r="L81" s="249">
        <v>1E-4</v>
      </c>
      <c r="M81" s="249">
        <v>4.0000000000000002E-4</v>
      </c>
      <c r="N81" s="250">
        <v>1</v>
      </c>
      <c r="O81" s="250">
        <v>3</v>
      </c>
      <c r="P81" s="253">
        <v>2000</v>
      </c>
      <c r="Q81" s="397" t="s">
        <v>460</v>
      </c>
      <c r="R81" s="282">
        <v>-40</v>
      </c>
      <c r="S81" s="282">
        <v>125</v>
      </c>
      <c r="T81" s="255"/>
      <c r="U81" s="305">
        <v>1000000000</v>
      </c>
      <c r="V81" s="255">
        <v>1000000000</v>
      </c>
      <c r="W81" s="435">
        <v>1</v>
      </c>
      <c r="X81" s="263">
        <v>3.5000000000000001E-3</v>
      </c>
      <c r="Y81" s="264">
        <f>ROW()-6</f>
        <v>75</v>
      </c>
      <c r="Z81" s="264" t="str">
        <f>IF(OR($AN$18=Devices[[#This Row],[Input Type]], 0=Devices[[#This Row],[Input Type]]),Devices[[#This Row],[Row Num]], " ")</f>
        <v xml:space="preserve"> </v>
      </c>
      <c r="AA81" s="264" t="str">
        <f>IF(OR($AN$19=Devices[[#This Row],[Input Type]], 0=Devices[[#This Row],[Input Type]]),Devices[[#This Row],[Row Num]], " ")</f>
        <v xml:space="preserve"> </v>
      </c>
      <c r="AB81" s="264">
        <f>IF(OR($AN$20=Devices[[#This Row],[Input Type]], 0=Devices[[#This Row],[Input Type]]),Devices[[#This Row],[Row Num]], " ")</f>
        <v>75</v>
      </c>
      <c r="AC81" s="264" t="str">
        <f>IF(0=Devices[[#This Row],[Input Type]], Devices[[#This Row],[Row Num]], " ")</f>
        <v xml:space="preserve"> </v>
      </c>
      <c r="AD81" s="264">
        <f>IFERROR(SMALL(Devices[Row Sel D], Devices[[#This Row],[Row Num]]), " ")</f>
        <v>102</v>
      </c>
      <c r="AE81" s="264" t="str">
        <f>IFERROR(SMALL(Devices[Row Sel IntRdiv], Devices[[#This Row],[Row Num]]), " ")</f>
        <v xml:space="preserve"> </v>
      </c>
      <c r="AF81" s="264" t="str">
        <f>IFERROR(SMALL(Devices[Row Sel SE], Devices[[#This Row],[Row Num]]), " ")</f>
        <v xml:space="preserve"> </v>
      </c>
      <c r="AG81" s="264" t="str">
        <f>IFERROR(SMALL(Devices[Row Sel N], Devices[[#This Row],[Row Num]]), " ")</f>
        <v xml:space="preserve"> </v>
      </c>
      <c r="AH81" s="264">
        <f>IFERROR(INDEX(Devices[Part], Devices[[#This Row],[Sel D]], 1), "")</f>
        <v>0</v>
      </c>
      <c r="AI81" s="264" t="str">
        <f>IFERROR(INDEX(Devices[Part], Devices[[#This Row],[Sel IntRdiv]], 1), "")</f>
        <v/>
      </c>
      <c r="AJ81" s="264" t="str">
        <f>IFERROR(INDEX(Devices[Part], Devices[[#This Row],[Sel SE]], 1), "")</f>
        <v/>
      </c>
      <c r="AK81" s="264" t="str">
        <f>IFERROR(INDEX(Devices[Part], Devices[[#This Row],[Sel N]], 1), "")</f>
        <v/>
      </c>
      <c r="AM81" s="246"/>
    </row>
    <row r="82" spans="1:39" ht="15" customHeight="1">
      <c r="A82" s="289" t="s">
        <v>46</v>
      </c>
      <c r="B82" s="396" t="s">
        <v>51</v>
      </c>
      <c r="C82" s="352" t="s">
        <v>51</v>
      </c>
      <c r="D82" s="309">
        <v>1E-3</v>
      </c>
      <c r="E82" s="298">
        <v>4.0000000000000001E-3</v>
      </c>
      <c r="F82" s="299">
        <v>20</v>
      </c>
      <c r="G82" s="299">
        <v>60</v>
      </c>
      <c r="H82" s="301">
        <v>0.03</v>
      </c>
      <c r="I82" s="301">
        <v>0.2</v>
      </c>
      <c r="J82" s="302">
        <v>1.5</v>
      </c>
      <c r="K82" s="302">
        <v>5</v>
      </c>
      <c r="L82" s="298">
        <v>2.9999999999999997E-4</v>
      </c>
      <c r="M82" s="298">
        <v>7.5000000000000002E-4</v>
      </c>
      <c r="N82" s="299">
        <v>1</v>
      </c>
      <c r="O82" s="299">
        <v>3</v>
      </c>
      <c r="P82" s="303">
        <v>250</v>
      </c>
      <c r="Q82" s="397" t="s">
        <v>459</v>
      </c>
      <c r="R82" s="282">
        <v>-40</v>
      </c>
      <c r="S82" s="282">
        <v>125</v>
      </c>
      <c r="T82" s="304">
        <v>12500</v>
      </c>
      <c r="U82" s="305">
        <v>19000</v>
      </c>
      <c r="V82" s="255">
        <v>22000</v>
      </c>
      <c r="W82" s="435">
        <v>8.1999999999999993</v>
      </c>
      <c r="X82" s="312">
        <v>30</v>
      </c>
      <c r="Y82" s="245">
        <f t="shared" si="0"/>
        <v>76</v>
      </c>
      <c r="Z82" s="245">
        <f>IF(OR($AN$18=Devices[[#This Row],[Input Type]], 0=Devices[[#This Row],[Input Type]]),Devices[[#This Row],[Row Num]], " ")</f>
        <v>76</v>
      </c>
      <c r="AA82" s="245" t="str">
        <f>IF(OR($AN$19=Devices[[#This Row],[Input Type]], 0=Devices[[#This Row],[Input Type]]),Devices[[#This Row],[Row Num]], " ")</f>
        <v xml:space="preserve"> </v>
      </c>
      <c r="AB82" s="245" t="str">
        <f>IF(OR($AN$20=Devices[[#This Row],[Input Type]], 0=Devices[[#This Row],[Input Type]]),Devices[[#This Row],[Row Num]], " ")</f>
        <v xml:space="preserve"> </v>
      </c>
      <c r="AC82" s="245" t="str">
        <f>IF(0=Devices[[#This Row],[Input Type]], Devices[[#This Row],[Row Num]], " ")</f>
        <v xml:space="preserve"> </v>
      </c>
      <c r="AD82" s="245">
        <f>IFERROR(SMALL(Devices[Row Sel D], Devices[[#This Row],[Row Num]]), " ")</f>
        <v>103</v>
      </c>
      <c r="AE82" s="245" t="str">
        <f>IFERROR(SMALL(Devices[Row Sel IntRdiv], Devices[[#This Row],[Row Num]]), " ")</f>
        <v xml:space="preserve"> </v>
      </c>
      <c r="AF82" s="245" t="str">
        <f>IFERROR(SMALL(Devices[Row Sel SE], Devices[[#This Row],[Row Num]]), " ")</f>
        <v xml:space="preserve"> </v>
      </c>
      <c r="AG82" s="245" t="str">
        <f>IFERROR(SMALL(Devices[Row Sel N], Devices[[#This Row],[Row Num]]), " ")</f>
        <v xml:space="preserve"> </v>
      </c>
      <c r="AH82" s="245">
        <f>IFERROR(INDEX(Devices[Part], Devices[[#This Row],[Sel D]], 1), "")</f>
        <v>0</v>
      </c>
      <c r="AI82" s="245" t="str">
        <f>IFERROR(INDEX(Devices[Part], Devices[[#This Row],[Sel IntRdiv]], 1), "")</f>
        <v/>
      </c>
      <c r="AJ82" s="245" t="str">
        <f>IFERROR(INDEX(Devices[Part], Devices[[#This Row],[Sel SE]], 1), "")</f>
        <v/>
      </c>
      <c r="AK82" s="245" t="str">
        <f>IFERROR(INDEX(Devices[Part], Devices[[#This Row],[Sel N]], 1), "")</f>
        <v/>
      </c>
      <c r="AM82" s="246"/>
    </row>
    <row r="83" spans="1:39" ht="15" customHeight="1">
      <c r="A83" s="281" t="s">
        <v>202</v>
      </c>
      <c r="B83" s="396" t="s">
        <v>51</v>
      </c>
      <c r="C83" s="352" t="s">
        <v>51</v>
      </c>
      <c r="D83" s="249">
        <v>4.0000000000000002E-4</v>
      </c>
      <c r="E83" s="249">
        <v>2E-3</v>
      </c>
      <c r="F83" s="250">
        <v>6</v>
      </c>
      <c r="G83" s="250">
        <v>40</v>
      </c>
      <c r="H83" s="251">
        <v>0.02</v>
      </c>
      <c r="I83" s="251">
        <v>0.15</v>
      </c>
      <c r="J83" s="252">
        <v>0.15</v>
      </c>
      <c r="K83" s="252">
        <v>1</v>
      </c>
      <c r="L83" s="249">
        <v>2.0000000000000002E-5</v>
      </c>
      <c r="M83" s="249">
        <v>4.0000000000000002E-4</v>
      </c>
      <c r="N83" s="250">
        <v>0.9</v>
      </c>
      <c r="O83" s="250">
        <v>2.7</v>
      </c>
      <c r="P83" s="253">
        <v>250</v>
      </c>
      <c r="Q83" s="397" t="s">
        <v>459</v>
      </c>
      <c r="R83" s="282">
        <v>-40</v>
      </c>
      <c r="S83" s="282">
        <v>125</v>
      </c>
      <c r="T83" s="255">
        <v>12500</v>
      </c>
      <c r="U83" s="255">
        <v>19000</v>
      </c>
      <c r="V83" s="255">
        <v>22000</v>
      </c>
      <c r="W83" s="435">
        <v>8.1999999999999993</v>
      </c>
      <c r="X83" s="310">
        <v>30</v>
      </c>
      <c r="Y83" s="245">
        <f t="shared" si="0"/>
        <v>77</v>
      </c>
      <c r="Z83" s="245">
        <f>IF(OR($AN$18=Devices[[#This Row],[Input Type]], 0=Devices[[#This Row],[Input Type]]),Devices[[#This Row],[Row Num]], " ")</f>
        <v>77</v>
      </c>
      <c r="AA83" s="245" t="str">
        <f>IF(OR($AN$19=Devices[[#This Row],[Input Type]], 0=Devices[[#This Row],[Input Type]]),Devices[[#This Row],[Row Num]], " ")</f>
        <v xml:space="preserve"> </v>
      </c>
      <c r="AB83" s="245" t="str">
        <f>IF(OR($AN$20=Devices[[#This Row],[Input Type]], 0=Devices[[#This Row],[Input Type]]),Devices[[#This Row],[Row Num]], " ")</f>
        <v xml:space="preserve"> </v>
      </c>
      <c r="AC83" s="245" t="str">
        <f>IF(0=Devices[[#This Row],[Input Type]], Devices[[#This Row],[Row Num]], " ")</f>
        <v xml:space="preserve"> </v>
      </c>
      <c r="AD83" s="245">
        <f>IFERROR(SMALL(Devices[Row Sel D], Devices[[#This Row],[Row Num]]), " ")</f>
        <v>104</v>
      </c>
      <c r="AE83" s="245" t="str">
        <f>IFERROR(SMALL(Devices[Row Sel IntRdiv], Devices[[#This Row],[Row Num]]), " ")</f>
        <v xml:space="preserve"> </v>
      </c>
      <c r="AF83" s="245" t="str">
        <f>IFERROR(SMALL(Devices[Row Sel SE], Devices[[#This Row],[Row Num]]), " ")</f>
        <v xml:space="preserve"> </v>
      </c>
      <c r="AG83" s="260" t="str">
        <f>IFERROR(SMALL(Devices[Row Sel N], Devices[[#This Row],[Row Num]]), " ")</f>
        <v xml:space="preserve"> </v>
      </c>
      <c r="AH83" s="245">
        <f>IFERROR(INDEX(Devices[Part], Devices[[#This Row],[Sel D]], 1), "")</f>
        <v>0</v>
      </c>
      <c r="AI83" s="245" t="str">
        <f>IFERROR(INDEX(Devices[Part], Devices[[#This Row],[Sel IntRdiv]], 1), "")</f>
        <v/>
      </c>
      <c r="AJ83" s="245" t="str">
        <f>IFERROR(INDEX(Devices[Part], Devices[[#This Row],[Sel SE]], 1), "")</f>
        <v/>
      </c>
      <c r="AK83" s="245" t="str">
        <f>IFERROR(INDEX(Devices[Part], Devices[[#This Row],[Sel N]], 1), "")</f>
        <v/>
      </c>
      <c r="AM83" s="246"/>
    </row>
    <row r="84" spans="1:39" ht="15" customHeight="1">
      <c r="A84" s="281" t="s">
        <v>204</v>
      </c>
      <c r="B84" s="396" t="s">
        <v>51</v>
      </c>
      <c r="C84" s="352" t="s">
        <v>51</v>
      </c>
      <c r="D84" s="272">
        <v>4.0000000000000002E-4</v>
      </c>
      <c r="E84" s="272">
        <v>2E-3</v>
      </c>
      <c r="F84" s="273">
        <v>10</v>
      </c>
      <c r="G84" s="273">
        <v>35</v>
      </c>
      <c r="H84" s="274">
        <v>1.4999999999999999E-2</v>
      </c>
      <c r="I84" s="274">
        <v>0.05</v>
      </c>
      <c r="J84" s="275">
        <v>0.1</v>
      </c>
      <c r="K84" s="275">
        <v>0.5</v>
      </c>
      <c r="L84" s="272">
        <v>2.0000000000000002E-5</v>
      </c>
      <c r="M84" s="272">
        <v>2.9999999999999997E-4</v>
      </c>
      <c r="N84" s="273">
        <v>0.4</v>
      </c>
      <c r="O84" s="273">
        <v>1.2</v>
      </c>
      <c r="P84" s="276">
        <v>50</v>
      </c>
      <c r="Q84" s="397" t="s">
        <v>459</v>
      </c>
      <c r="R84" s="282">
        <v>-40</v>
      </c>
      <c r="S84" s="282">
        <v>125</v>
      </c>
      <c r="T84" s="256">
        <v>2500</v>
      </c>
      <c r="U84" s="256">
        <v>4750</v>
      </c>
      <c r="V84" s="255">
        <v>4900</v>
      </c>
      <c r="W84" s="435">
        <v>41</v>
      </c>
      <c r="X84" s="259">
        <v>36</v>
      </c>
      <c r="Y84" s="245">
        <f t="shared" si="0"/>
        <v>78</v>
      </c>
      <c r="Z84" s="245">
        <f>IF(OR($AN$18=Devices[[#This Row],[Input Type]], 0=Devices[[#This Row],[Input Type]]),Devices[[#This Row],[Row Num]], " ")</f>
        <v>78</v>
      </c>
      <c r="AA84" s="245" t="str">
        <f>IF(OR($AN$19=Devices[[#This Row],[Input Type]], 0=Devices[[#This Row],[Input Type]]),Devices[[#This Row],[Row Num]], " ")</f>
        <v xml:space="preserve"> </v>
      </c>
      <c r="AB84" s="245" t="str">
        <f>IF(OR($AN$20=Devices[[#This Row],[Input Type]], 0=Devices[[#This Row],[Input Type]]),Devices[[#This Row],[Row Num]], " ")</f>
        <v xml:space="preserve"> </v>
      </c>
      <c r="AC84" s="245" t="str">
        <f>IF(0=Devices[[#This Row],[Input Type]], Devices[[#This Row],[Row Num]], " ")</f>
        <v xml:space="preserve"> </v>
      </c>
      <c r="AD84" s="245">
        <f>IFERROR(SMALL(Devices[Row Sel D], Devices[[#This Row],[Row Num]]), " ")</f>
        <v>105</v>
      </c>
      <c r="AE84" s="245" t="str">
        <f>IFERROR(SMALL(Devices[Row Sel IntRdiv], Devices[[#This Row],[Row Num]]), " ")</f>
        <v xml:space="preserve"> </v>
      </c>
      <c r="AF84" s="245" t="str">
        <f>IFERROR(SMALL(Devices[Row Sel SE], Devices[[#This Row],[Row Num]]), " ")</f>
        <v xml:space="preserve"> </v>
      </c>
      <c r="AG84" s="245" t="str">
        <f>IFERROR(SMALL(Devices[Row Sel N], Devices[[#This Row],[Row Num]]), " ")</f>
        <v xml:space="preserve"> </v>
      </c>
      <c r="AH84" s="245">
        <f>IFERROR(INDEX(Devices[Part], Devices[[#This Row],[Sel D]], 1), "")</f>
        <v>0</v>
      </c>
      <c r="AI84" s="245" t="str">
        <f>IFERROR(INDEX(Devices[Part], Devices[[#This Row],[Sel IntRdiv]], 1), "")</f>
        <v/>
      </c>
      <c r="AJ84" s="245" t="str">
        <f>IFERROR(INDEX(Devices[Part], Devices[[#This Row],[Sel SE]], 1), "")</f>
        <v/>
      </c>
      <c r="AK84" s="245" t="str">
        <f>IFERROR(INDEX(Devices[Part], Devices[[#This Row],[Sel N]], 1), "")</f>
        <v/>
      </c>
      <c r="AM84" s="246"/>
    </row>
    <row r="85" spans="1:39" ht="15" customHeight="1">
      <c r="A85" s="281" t="s">
        <v>214</v>
      </c>
      <c r="B85" s="396" t="s">
        <v>51</v>
      </c>
      <c r="C85" s="352" t="s">
        <v>51</v>
      </c>
      <c r="D85" s="272">
        <v>4.0000000000000002E-4</v>
      </c>
      <c r="E85" s="272">
        <v>2E-3</v>
      </c>
      <c r="F85" s="273">
        <v>10</v>
      </c>
      <c r="G85" s="273">
        <v>35</v>
      </c>
      <c r="H85" s="274">
        <v>1.4999999999999999E-2</v>
      </c>
      <c r="I85" s="274">
        <v>0.05</v>
      </c>
      <c r="J85" s="275">
        <v>0.1</v>
      </c>
      <c r="K85" s="275">
        <v>0.5</v>
      </c>
      <c r="L85" s="272">
        <v>2.0000000000000002E-5</v>
      </c>
      <c r="M85" s="272">
        <v>2.9999999999999997E-4</v>
      </c>
      <c r="N85" s="273">
        <v>0.4</v>
      </c>
      <c r="O85" s="273">
        <v>1.2</v>
      </c>
      <c r="P85" s="276">
        <v>50</v>
      </c>
      <c r="Q85" s="397" t="s">
        <v>459</v>
      </c>
      <c r="R85" s="282">
        <v>-40</v>
      </c>
      <c r="S85" s="282">
        <v>125</v>
      </c>
      <c r="T85" s="256">
        <v>2500</v>
      </c>
      <c r="U85" s="256">
        <v>4750</v>
      </c>
      <c r="V85" s="255">
        <v>4900</v>
      </c>
      <c r="W85" s="435">
        <v>41</v>
      </c>
      <c r="X85" s="259">
        <v>36</v>
      </c>
      <c r="Y85" s="245">
        <f t="shared" si="0"/>
        <v>79</v>
      </c>
      <c r="Z85" s="245">
        <f>IF(OR($AN$18=Devices[[#This Row],[Input Type]], 0=Devices[[#This Row],[Input Type]]),Devices[[#This Row],[Row Num]], " ")</f>
        <v>79</v>
      </c>
      <c r="AA85" s="245" t="str">
        <f>IF(OR($AN$19=Devices[[#This Row],[Input Type]], 0=Devices[[#This Row],[Input Type]]),Devices[[#This Row],[Row Num]], " ")</f>
        <v xml:space="preserve"> </v>
      </c>
      <c r="AB85" s="245" t="str">
        <f>IF(OR($AN$20=Devices[[#This Row],[Input Type]], 0=Devices[[#This Row],[Input Type]]),Devices[[#This Row],[Row Num]], " ")</f>
        <v xml:space="preserve"> </v>
      </c>
      <c r="AC85" s="245" t="str">
        <f>IF(0=Devices[[#This Row],[Input Type]], Devices[[#This Row],[Row Num]], " ")</f>
        <v xml:space="preserve"> </v>
      </c>
      <c r="AD85" s="245">
        <f>IFERROR(SMALL(Devices[Row Sel D], Devices[[#This Row],[Row Num]]), " ")</f>
        <v>106</v>
      </c>
      <c r="AE85" s="245" t="str">
        <f>IFERROR(SMALL(Devices[Row Sel IntRdiv], Devices[[#This Row],[Row Num]]), " ")</f>
        <v xml:space="preserve"> </v>
      </c>
      <c r="AF85" s="245" t="str">
        <f>IFERROR(SMALL(Devices[Row Sel SE], Devices[[#This Row],[Row Num]]), " ")</f>
        <v xml:space="preserve"> </v>
      </c>
      <c r="AG85" s="260" t="str">
        <f>IFERROR(SMALL(Devices[Row Sel N], Devices[[#This Row],[Row Num]]), " ")</f>
        <v xml:space="preserve"> </v>
      </c>
      <c r="AH85" s="245">
        <f>IFERROR(INDEX(Devices[Part], Devices[[#This Row],[Sel D]], 1), "")</f>
        <v>0</v>
      </c>
      <c r="AI85" s="245" t="str">
        <f>IFERROR(INDEX(Devices[Part], Devices[[#This Row],[Sel IntRdiv]], 1), "")</f>
        <v/>
      </c>
      <c r="AJ85" s="245" t="str">
        <f>IFERROR(INDEX(Devices[Part], Devices[[#This Row],[Sel SE]], 1), "")</f>
        <v/>
      </c>
      <c r="AK85" s="245" t="str">
        <f>IFERROR(INDEX(Devices[Part], Devices[[#This Row],[Sel N]], 1), "")</f>
        <v/>
      </c>
      <c r="AM85" s="246"/>
    </row>
    <row r="86" spans="1:39" ht="15" customHeight="1">
      <c r="A86" s="281" t="s">
        <v>537</v>
      </c>
      <c r="B86" s="248" t="s">
        <v>52</v>
      </c>
      <c r="C86" s="352" t="s">
        <v>51</v>
      </c>
      <c r="D86" s="402">
        <v>5.0000000000000001E-4</v>
      </c>
      <c r="E86" s="402">
        <v>2E-3</v>
      </c>
      <c r="F86" s="403">
        <v>5</v>
      </c>
      <c r="G86" s="403">
        <v>40</v>
      </c>
      <c r="H86" s="404">
        <v>0.1</v>
      </c>
      <c r="I86" s="404">
        <v>1</v>
      </c>
      <c r="J86" s="405">
        <v>3</v>
      </c>
      <c r="K86" s="405">
        <v>10</v>
      </c>
      <c r="L86" s="402">
        <v>1E-4</v>
      </c>
      <c r="M86" s="402">
        <v>2.0000000000000001E-4</v>
      </c>
      <c r="N86" s="403">
        <v>1</v>
      </c>
      <c r="O86" s="403">
        <v>3</v>
      </c>
      <c r="P86" s="406">
        <v>2000</v>
      </c>
      <c r="Q86" s="399">
        <v>2</v>
      </c>
      <c r="R86" s="407">
        <v>-40</v>
      </c>
      <c r="S86" s="407">
        <v>125</v>
      </c>
      <c r="T86" s="256">
        <v>1000000000</v>
      </c>
      <c r="U86" s="256">
        <v>1000000000</v>
      </c>
      <c r="V86" s="256">
        <v>1000000000</v>
      </c>
      <c r="W86" s="408">
        <v>1</v>
      </c>
      <c r="X86" s="438">
        <v>3.5000000000000001E-3</v>
      </c>
      <c r="Y86" s="353">
        <f>ROW()-6</f>
        <v>80</v>
      </c>
      <c r="Z86" s="353" t="str">
        <f>IF(OR($AN$18=Devices[[#This Row],[Input Type]], 0=Devices[[#This Row],[Input Type]]),Devices[[#This Row],[Row Num]], " ")</f>
        <v xml:space="preserve"> </v>
      </c>
      <c r="AA86" s="245" t="str">
        <f>IF(OR($AN$19=Devices[[#This Row],[Input Type]], 0=Devices[[#This Row],[Input Type]]),Devices[[#This Row],[Row Num]], " ")</f>
        <v xml:space="preserve"> </v>
      </c>
      <c r="AB86" s="353">
        <f>IF(OR($AN$20=Devices[[#This Row],[Input Type]], 0=Devices[[#This Row],[Input Type]]),Devices[[#This Row],[Row Num]], " ")</f>
        <v>80</v>
      </c>
      <c r="AC86" s="353" t="str">
        <f>IF(0=Devices[[#This Row],[Input Type]], Devices[[#This Row],[Row Num]], " ")</f>
        <v xml:space="preserve"> </v>
      </c>
      <c r="AD86" s="353">
        <f>IFERROR(SMALL(Devices[Row Sel D], Devices[[#This Row],[Row Num]]), " ")</f>
        <v>107</v>
      </c>
      <c r="AE86" s="245" t="str">
        <f>IFERROR(SMALL(Devices[Row Sel IntRdiv], Devices[[#This Row],[Row Num]]), " ")</f>
        <v xml:space="preserve"> </v>
      </c>
      <c r="AF86" s="353" t="str">
        <f>IFERROR(SMALL(Devices[Row Sel SE], Devices[[#This Row],[Row Num]]), " ")</f>
        <v xml:space="preserve"> </v>
      </c>
      <c r="AG86" s="353" t="str">
        <f>IFERROR(SMALL(Devices[Row Sel N], Devices[[#This Row],[Row Num]]), " ")</f>
        <v xml:space="preserve"> </v>
      </c>
      <c r="AH86" s="353">
        <f>IFERROR(INDEX(Devices[Part], Devices[[#This Row],[Sel D]], 1), "")</f>
        <v>0</v>
      </c>
      <c r="AI86" s="245" t="str">
        <f>IFERROR(INDEX(Devices[Part], Devices[[#This Row],[Sel IntRdiv]], 1), "")</f>
        <v/>
      </c>
      <c r="AJ86" s="353" t="str">
        <f>IFERROR(INDEX(Devices[Part], Devices[[#This Row],[Sel SE]], 1), "")</f>
        <v/>
      </c>
      <c r="AK86" s="353" t="str">
        <f>IFERROR(INDEX(Devices[Part], Devices[[#This Row],[Sel N]], 1), "")</f>
        <v/>
      </c>
      <c r="AM86" s="246"/>
    </row>
    <row r="87" spans="1:39" ht="15" customHeight="1">
      <c r="A87" s="281" t="s">
        <v>538</v>
      </c>
      <c r="B87" s="248" t="s">
        <v>52</v>
      </c>
      <c r="C87" s="352" t="s">
        <v>51</v>
      </c>
      <c r="D87" s="402">
        <v>5.0000000000000001E-4</v>
      </c>
      <c r="E87" s="402">
        <v>2E-3</v>
      </c>
      <c r="F87" s="403">
        <v>5</v>
      </c>
      <c r="G87" s="403">
        <v>40</v>
      </c>
      <c r="H87" s="404">
        <v>0.1</v>
      </c>
      <c r="I87" s="404">
        <v>1</v>
      </c>
      <c r="J87" s="405">
        <v>3</v>
      </c>
      <c r="K87" s="405">
        <v>10</v>
      </c>
      <c r="L87" s="402">
        <v>1E-4</v>
      </c>
      <c r="M87" s="402">
        <v>2.0000000000000001E-4</v>
      </c>
      <c r="N87" s="403">
        <v>1</v>
      </c>
      <c r="O87" s="403">
        <v>3</v>
      </c>
      <c r="P87" s="406">
        <v>2000</v>
      </c>
      <c r="Q87" s="399">
        <v>2</v>
      </c>
      <c r="R87" s="407">
        <v>-40</v>
      </c>
      <c r="S87" s="407">
        <v>125</v>
      </c>
      <c r="T87" s="256">
        <v>1000000000</v>
      </c>
      <c r="U87" s="256">
        <v>1000000000</v>
      </c>
      <c r="V87" s="256">
        <v>1000000000</v>
      </c>
      <c r="W87" s="408">
        <v>1</v>
      </c>
      <c r="X87" s="438">
        <v>3.5000000000000001E-3</v>
      </c>
      <c r="Y87" s="353">
        <f>ROW()-6</f>
        <v>81</v>
      </c>
      <c r="Z87" s="353" t="str">
        <f>IF(OR($AN$18=Devices[[#This Row],[Input Type]], 0=Devices[[#This Row],[Input Type]]),Devices[[#This Row],[Row Num]], " ")</f>
        <v xml:space="preserve"> </v>
      </c>
      <c r="AA87" s="245" t="str">
        <f>IF(OR($AN$19=Devices[[#This Row],[Input Type]], 0=Devices[[#This Row],[Input Type]]),Devices[[#This Row],[Row Num]], " ")</f>
        <v xml:space="preserve"> </v>
      </c>
      <c r="AB87" s="353">
        <f>IF(OR($AN$20=Devices[[#This Row],[Input Type]], 0=Devices[[#This Row],[Input Type]]),Devices[[#This Row],[Row Num]], " ")</f>
        <v>81</v>
      </c>
      <c r="AC87" s="353" t="str">
        <f>IF(0=Devices[[#This Row],[Input Type]], Devices[[#This Row],[Row Num]], " ")</f>
        <v xml:space="preserve"> </v>
      </c>
      <c r="AD87" s="353">
        <f>IFERROR(SMALL(Devices[Row Sel D], Devices[[#This Row],[Row Num]]), " ")</f>
        <v>108</v>
      </c>
      <c r="AE87" s="245" t="str">
        <f>IFERROR(SMALL(Devices[Row Sel IntRdiv], Devices[[#This Row],[Row Num]]), " ")</f>
        <v xml:space="preserve"> </v>
      </c>
      <c r="AF87" s="353" t="str">
        <f>IFERROR(SMALL(Devices[Row Sel SE], Devices[[#This Row],[Row Num]]), " ")</f>
        <v xml:space="preserve"> </v>
      </c>
      <c r="AG87" s="353" t="str">
        <f>IFERROR(SMALL(Devices[Row Sel N], Devices[[#This Row],[Row Num]]), " ")</f>
        <v xml:space="preserve"> </v>
      </c>
      <c r="AH87" s="353">
        <f>IFERROR(INDEX(Devices[Part], Devices[[#This Row],[Sel D]], 1), "")</f>
        <v>0</v>
      </c>
      <c r="AI87" s="245" t="str">
        <f>IFERROR(INDEX(Devices[Part], Devices[[#This Row],[Sel IntRdiv]], 1), "")</f>
        <v/>
      </c>
      <c r="AJ87" s="353" t="str">
        <f>IFERROR(INDEX(Devices[Part], Devices[[#This Row],[Sel SE]], 1), "")</f>
        <v/>
      </c>
      <c r="AK87" s="353" t="str">
        <f>IFERROR(INDEX(Devices[Part], Devices[[#This Row],[Sel N]], 1), "")</f>
        <v/>
      </c>
      <c r="AM87" s="246"/>
    </row>
    <row r="88" spans="1:39" ht="15" customHeight="1">
      <c r="A88" s="281" t="s">
        <v>213</v>
      </c>
      <c r="B88" s="396" t="s">
        <v>51</v>
      </c>
      <c r="C88" s="352" t="s">
        <v>51</v>
      </c>
      <c r="D88" s="272">
        <v>8.0000000000000004E-4</v>
      </c>
      <c r="E88" s="272">
        <v>2E-3</v>
      </c>
      <c r="F88" s="273">
        <v>7</v>
      </c>
      <c r="G88" s="273">
        <v>45</v>
      </c>
      <c r="H88" s="274">
        <v>0.05</v>
      </c>
      <c r="I88" s="274">
        <v>0.3</v>
      </c>
      <c r="J88" s="275">
        <v>1</v>
      </c>
      <c r="K88" s="275">
        <v>4</v>
      </c>
      <c r="L88" s="272">
        <v>1E-4</v>
      </c>
      <c r="M88" s="272">
        <v>2.0000000000000001E-4</v>
      </c>
      <c r="N88" s="273">
        <v>0.4</v>
      </c>
      <c r="O88" s="273">
        <v>1.2</v>
      </c>
      <c r="P88" s="276">
        <v>1000</v>
      </c>
      <c r="Q88" s="397" t="s">
        <v>462</v>
      </c>
      <c r="R88" s="282">
        <v>-40</v>
      </c>
      <c r="S88" s="282">
        <v>125</v>
      </c>
      <c r="T88" s="256">
        <v>1000000000</v>
      </c>
      <c r="U88" s="256">
        <v>800000000</v>
      </c>
      <c r="V88" s="255">
        <v>1200000000</v>
      </c>
      <c r="W88" s="435">
        <v>2</v>
      </c>
      <c r="X88" s="308">
        <v>2.5000000000000001E-3</v>
      </c>
      <c r="Y88" s="245">
        <f t="shared" si="0"/>
        <v>82</v>
      </c>
      <c r="Z88" s="245">
        <f>IF(OR($AN$18=Devices[[#This Row],[Input Type]], 0=Devices[[#This Row],[Input Type]]),Devices[[#This Row],[Row Num]], " ")</f>
        <v>82</v>
      </c>
      <c r="AA88" s="245" t="str">
        <f>IF(OR($AN$19=Devices[[#This Row],[Input Type]], 0=Devices[[#This Row],[Input Type]]),Devices[[#This Row],[Row Num]], " ")</f>
        <v xml:space="preserve"> </v>
      </c>
      <c r="AB88" s="245" t="str">
        <f>IF(OR($AN$20=Devices[[#This Row],[Input Type]], 0=Devices[[#This Row],[Input Type]]),Devices[[#This Row],[Row Num]], " ")</f>
        <v xml:space="preserve"> </v>
      </c>
      <c r="AC88" s="245" t="str">
        <f>IF(0=Devices[[#This Row],[Input Type]], Devices[[#This Row],[Row Num]], " ")</f>
        <v xml:space="preserve"> </v>
      </c>
      <c r="AD88" s="245">
        <f>IFERROR(SMALL(Devices[Row Sel D], Devices[[#This Row],[Row Num]]), " ")</f>
        <v>109</v>
      </c>
      <c r="AE88" s="245" t="str">
        <f>IFERROR(SMALL(Devices[Row Sel IntRdiv], Devices[[#This Row],[Row Num]]), " ")</f>
        <v xml:space="preserve"> </v>
      </c>
      <c r="AF88" s="245" t="str">
        <f>IFERROR(SMALL(Devices[Row Sel SE], Devices[[#This Row],[Row Num]]), " ")</f>
        <v xml:space="preserve"> </v>
      </c>
      <c r="AG88" s="260" t="str">
        <f>IFERROR(SMALL(Devices[Row Sel N], Devices[[#This Row],[Row Num]]), " ")</f>
        <v xml:space="preserve"> </v>
      </c>
      <c r="AH88" s="245">
        <f>IFERROR(INDEX(Devices[Part], Devices[[#This Row],[Sel D]], 1), "")</f>
        <v>0</v>
      </c>
      <c r="AI88" s="245" t="str">
        <f>IFERROR(INDEX(Devices[Part], Devices[[#This Row],[Sel IntRdiv]], 1), "")</f>
        <v/>
      </c>
      <c r="AJ88" s="245" t="str">
        <f>IFERROR(INDEX(Devices[Part], Devices[[#This Row],[Sel SE]], 1), "")</f>
        <v/>
      </c>
      <c r="AK88" s="245" t="str">
        <f>IFERROR(INDEX(Devices[Part], Devices[[#This Row],[Sel N]], 1), "")</f>
        <v/>
      </c>
      <c r="AM88" s="246"/>
    </row>
    <row r="89" spans="1:39" ht="15" customHeight="1">
      <c r="A89" s="281" t="s">
        <v>203</v>
      </c>
      <c r="B89" s="396" t="s">
        <v>51</v>
      </c>
      <c r="C89" s="352" t="s">
        <v>51</v>
      </c>
      <c r="D89" s="272">
        <v>8.0000000000000004E-4</v>
      </c>
      <c r="E89" s="272">
        <v>2E-3</v>
      </c>
      <c r="F89" s="273">
        <v>7</v>
      </c>
      <c r="G89" s="273">
        <v>45</v>
      </c>
      <c r="H89" s="274">
        <v>0.05</v>
      </c>
      <c r="I89" s="274">
        <v>0.3</v>
      </c>
      <c r="J89" s="275">
        <v>1</v>
      </c>
      <c r="K89" s="275">
        <v>4</v>
      </c>
      <c r="L89" s="272">
        <v>1E-4</v>
      </c>
      <c r="M89" s="272">
        <v>2.0000000000000001E-4</v>
      </c>
      <c r="N89" s="273">
        <v>0.4</v>
      </c>
      <c r="O89" s="273">
        <v>1.2</v>
      </c>
      <c r="P89" s="276">
        <v>1000</v>
      </c>
      <c r="Q89" s="397" t="s">
        <v>462</v>
      </c>
      <c r="R89" s="282">
        <v>-40</v>
      </c>
      <c r="S89" s="282">
        <v>125</v>
      </c>
      <c r="T89" s="256">
        <v>1000000000</v>
      </c>
      <c r="U89" s="256">
        <v>800000000</v>
      </c>
      <c r="V89" s="255">
        <v>1200000000</v>
      </c>
      <c r="W89" s="435">
        <v>2</v>
      </c>
      <c r="X89" s="308">
        <v>2.5000000000000001E-3</v>
      </c>
      <c r="Y89" s="245">
        <f t="shared" si="0"/>
        <v>83</v>
      </c>
      <c r="Z89" s="245">
        <f>IF(OR($AN$18=Devices[[#This Row],[Input Type]], 0=Devices[[#This Row],[Input Type]]),Devices[[#This Row],[Row Num]], " ")</f>
        <v>83</v>
      </c>
      <c r="AA89" s="245" t="str">
        <f>IF(OR($AN$19=Devices[[#This Row],[Input Type]], 0=Devices[[#This Row],[Input Type]]),Devices[[#This Row],[Row Num]], " ")</f>
        <v xml:space="preserve"> </v>
      </c>
      <c r="AB89" s="245" t="str">
        <f>IF(OR($AN$20=Devices[[#This Row],[Input Type]], 0=Devices[[#This Row],[Input Type]]),Devices[[#This Row],[Row Num]], " ")</f>
        <v xml:space="preserve"> </v>
      </c>
      <c r="AC89" s="245" t="str">
        <f>IF(0=Devices[[#This Row],[Input Type]], Devices[[#This Row],[Row Num]], " ")</f>
        <v xml:space="preserve"> </v>
      </c>
      <c r="AD89" s="245">
        <f>IFERROR(SMALL(Devices[Row Sel D], Devices[[#This Row],[Row Num]]), " ")</f>
        <v>110</v>
      </c>
      <c r="AE89" s="245" t="str">
        <f>IFERROR(SMALL(Devices[Row Sel IntRdiv], Devices[[#This Row],[Row Num]]), " ")</f>
        <v xml:space="preserve"> </v>
      </c>
      <c r="AF89" s="245" t="str">
        <f>IFERROR(SMALL(Devices[Row Sel SE], Devices[[#This Row],[Row Num]]), " ")</f>
        <v xml:space="preserve"> </v>
      </c>
      <c r="AG89" s="245" t="str">
        <f>IFERROR(SMALL(Devices[Row Sel N], Devices[[#This Row],[Row Num]]), " ")</f>
        <v xml:space="preserve"> </v>
      </c>
      <c r="AH89" s="245">
        <f>IFERROR(INDEX(Devices[Part], Devices[[#This Row],[Sel D]], 1), "")</f>
        <v>0</v>
      </c>
      <c r="AI89" s="245" t="str">
        <f>IFERROR(INDEX(Devices[Part], Devices[[#This Row],[Sel IntRdiv]], 1), "")</f>
        <v/>
      </c>
      <c r="AJ89" s="245" t="str">
        <f>IFERROR(INDEX(Devices[Part], Devices[[#This Row],[Sel SE]], 1), "")</f>
        <v/>
      </c>
      <c r="AK89" s="245" t="str">
        <f>IFERROR(INDEX(Devices[Part], Devices[[#This Row],[Sel N]], 1), "")</f>
        <v/>
      </c>
      <c r="AM89" s="246"/>
    </row>
    <row r="90" spans="1:39" ht="15" customHeight="1">
      <c r="A90" s="289" t="s">
        <v>77</v>
      </c>
      <c r="B90" s="396" t="s">
        <v>52</v>
      </c>
      <c r="C90" s="352" t="s">
        <v>51</v>
      </c>
      <c r="D90" s="298">
        <v>4.0000000000000001E-3</v>
      </c>
      <c r="E90" s="298">
        <v>0.01</v>
      </c>
      <c r="F90" s="299">
        <v>20</v>
      </c>
      <c r="G90" s="299">
        <v>60</v>
      </c>
      <c r="H90" s="301">
        <v>1</v>
      </c>
      <c r="I90" s="301">
        <v>50</v>
      </c>
      <c r="J90" s="302">
        <v>12</v>
      </c>
      <c r="K90" s="302">
        <v>60</v>
      </c>
      <c r="L90" s="313">
        <v>3.0000000000000001E-5</v>
      </c>
      <c r="M90" s="298">
        <v>2.0000000000000001E-4</v>
      </c>
      <c r="N90" s="314">
        <v>0.1</v>
      </c>
      <c r="O90" s="314">
        <v>0.3</v>
      </c>
      <c r="P90" s="303">
        <v>12000</v>
      </c>
      <c r="Q90" s="397" t="s">
        <v>463</v>
      </c>
      <c r="R90" s="282">
        <v>-55</v>
      </c>
      <c r="S90" s="282">
        <v>125</v>
      </c>
      <c r="T90" s="304"/>
      <c r="U90" s="305">
        <v>1250000</v>
      </c>
      <c r="V90" s="255">
        <v>1250000</v>
      </c>
      <c r="W90" s="436">
        <v>0.33</v>
      </c>
      <c r="X90" s="315">
        <v>1.4999999999999999E-2</v>
      </c>
      <c r="Y90" s="264">
        <f>ROW()-6</f>
        <v>84</v>
      </c>
      <c r="Z90" s="264" t="str">
        <f>IF(OR($AN$18=Devices[[#This Row],[Input Type]], 0=Devices[[#This Row],[Input Type]]),Devices[[#This Row],[Row Num]], " ")</f>
        <v xml:space="preserve"> </v>
      </c>
      <c r="AA90" s="264" t="str">
        <f>IF(OR($AN$19=Devices[[#This Row],[Input Type]], 0=Devices[[#This Row],[Input Type]]),Devices[[#This Row],[Row Num]], " ")</f>
        <v xml:space="preserve"> </v>
      </c>
      <c r="AB90" s="264">
        <f>IF(OR($AN$20=Devices[[#This Row],[Input Type]], 0=Devices[[#This Row],[Input Type]]),Devices[[#This Row],[Row Num]], " ")</f>
        <v>84</v>
      </c>
      <c r="AC90" s="264" t="str">
        <f>IF(0=Devices[[#This Row],[Input Type]], Devices[[#This Row],[Row Num]], " ")</f>
        <v xml:space="preserve"> </v>
      </c>
      <c r="AD90" s="264">
        <f>IFERROR(SMALL(Devices[Row Sel D], Devices[[#This Row],[Row Num]]), " ")</f>
        <v>111</v>
      </c>
      <c r="AE90" s="264" t="str">
        <f>IFERROR(SMALL(Devices[Row Sel IntRdiv], Devices[[#This Row],[Row Num]]), " ")</f>
        <v xml:space="preserve"> </v>
      </c>
      <c r="AF90" s="264" t="str">
        <f>IFERROR(SMALL(Devices[Row Sel SE], Devices[[#This Row],[Row Num]]), " ")</f>
        <v xml:space="preserve"> </v>
      </c>
      <c r="AG90" s="264" t="str">
        <f>IFERROR(SMALL(Devices[Row Sel N], Devices[[#This Row],[Row Num]]), " ")</f>
        <v xml:space="preserve"> </v>
      </c>
      <c r="AH90" s="264">
        <f>IFERROR(INDEX(Devices[Part], Devices[[#This Row],[Sel D]], 1), "")</f>
        <v>0</v>
      </c>
      <c r="AI90" s="264" t="str">
        <f>IFERROR(INDEX(Devices[Part], Devices[[#This Row],[Sel IntRdiv]], 1), "")</f>
        <v/>
      </c>
      <c r="AJ90" s="264" t="str">
        <f>IFERROR(INDEX(Devices[Part], Devices[[#This Row],[Sel SE]], 1), "")</f>
        <v/>
      </c>
      <c r="AK90" s="264" t="str">
        <f>IFERROR(INDEX(Devices[Part], Devices[[#This Row],[Sel N]], 1), "")</f>
        <v/>
      </c>
      <c r="AM90" s="246"/>
    </row>
    <row r="91" spans="1:39" ht="15" customHeight="1">
      <c r="A91" s="261" t="s">
        <v>76</v>
      </c>
      <c r="B91" s="396" t="s">
        <v>52</v>
      </c>
      <c r="C91" s="354" t="s">
        <v>51</v>
      </c>
      <c r="D91" s="290">
        <v>5.0000000000000001E-4</v>
      </c>
      <c r="E91" s="316">
        <v>3.0000000000000001E-3</v>
      </c>
      <c r="F91" s="317">
        <v>10</v>
      </c>
      <c r="G91" s="317">
        <v>35</v>
      </c>
      <c r="H91" s="318">
        <v>1</v>
      </c>
      <c r="I91" s="318">
        <v>5</v>
      </c>
      <c r="J91" s="319">
        <v>3</v>
      </c>
      <c r="K91" s="319">
        <v>15</v>
      </c>
      <c r="L91" s="313">
        <v>3.0000000000000001E-5</v>
      </c>
      <c r="M91" s="316">
        <v>1E-4</v>
      </c>
      <c r="N91" s="314">
        <v>0.1</v>
      </c>
      <c r="O91" s="314">
        <v>0.3</v>
      </c>
      <c r="P91" s="320">
        <v>12000</v>
      </c>
      <c r="Q91" s="397" t="s">
        <v>463</v>
      </c>
      <c r="R91" s="277">
        <v>-55</v>
      </c>
      <c r="S91" s="277">
        <v>125</v>
      </c>
      <c r="T91" s="278"/>
      <c r="U91" s="321">
        <v>1250000</v>
      </c>
      <c r="V91" s="255">
        <v>1250000</v>
      </c>
      <c r="W91" s="437">
        <v>0.33</v>
      </c>
      <c r="X91" s="315">
        <v>1.4999999999999999E-2</v>
      </c>
      <c r="Y91" s="245">
        <f t="shared" si="0"/>
        <v>85</v>
      </c>
      <c r="Z91" s="245" t="str">
        <f>IF(OR($AN$18=Devices[[#This Row],[Input Type]], 0=Devices[[#This Row],[Input Type]]),Devices[[#This Row],[Row Num]], " ")</f>
        <v xml:space="preserve"> </v>
      </c>
      <c r="AA91" s="245" t="str">
        <f>IF(OR($AN$19=Devices[[#This Row],[Input Type]], 0=Devices[[#This Row],[Input Type]]),Devices[[#This Row],[Row Num]], " ")</f>
        <v xml:space="preserve"> </v>
      </c>
      <c r="AB91" s="245">
        <f>IF(OR($AN$20=Devices[[#This Row],[Input Type]], 0=Devices[[#This Row],[Input Type]]),Devices[[#This Row],[Row Num]], " ")</f>
        <v>85</v>
      </c>
      <c r="AC91" s="245" t="str">
        <f>IF(0=Devices[[#This Row],[Input Type]], Devices[[#This Row],[Row Num]], " ")</f>
        <v xml:space="preserve"> </v>
      </c>
      <c r="AD91" s="245">
        <f>IFERROR(SMALL(Devices[Row Sel D], Devices[[#This Row],[Row Num]]), " ")</f>
        <v>112</v>
      </c>
      <c r="AE91" s="245" t="str">
        <f>IFERROR(SMALL(Devices[Row Sel IntRdiv], Devices[[#This Row],[Row Num]]), " ")</f>
        <v xml:space="preserve"> </v>
      </c>
      <c r="AF91" s="245" t="str">
        <f>IFERROR(SMALL(Devices[Row Sel SE], Devices[[#This Row],[Row Num]]), " ")</f>
        <v xml:space="preserve"> </v>
      </c>
      <c r="AG91" s="260" t="str">
        <f>IFERROR(SMALL(Devices[Row Sel N], Devices[[#This Row],[Row Num]]), " ")</f>
        <v xml:space="preserve"> </v>
      </c>
      <c r="AH91" s="245">
        <f>IFERROR(INDEX(Devices[Part], Devices[[#This Row],[Sel D]], 1), "")</f>
        <v>0</v>
      </c>
      <c r="AI91" s="245" t="str">
        <f>IFERROR(INDEX(Devices[Part], Devices[[#This Row],[Sel IntRdiv]], 1), "")</f>
        <v/>
      </c>
      <c r="AJ91" s="245" t="str">
        <f>IFERROR(INDEX(Devices[Part], Devices[[#This Row],[Sel SE]], 1), "")</f>
        <v/>
      </c>
      <c r="AK91" s="245" t="str">
        <f>IFERROR(INDEX(Devices[Part], Devices[[#This Row],[Sel N]], 1), "")</f>
        <v/>
      </c>
      <c r="AM91" s="246"/>
    </row>
    <row r="92" spans="1:39" ht="15" customHeight="1">
      <c r="A92" s="261" t="s">
        <v>533</v>
      </c>
      <c r="B92" s="248" t="s">
        <v>521</v>
      </c>
      <c r="C92" s="352" t="s">
        <v>51</v>
      </c>
      <c r="D92" s="402">
        <v>5.0000000000000001E-4</v>
      </c>
      <c r="E92" s="402">
        <v>2.5000000000000001E-3</v>
      </c>
      <c r="F92" s="403">
        <v>5</v>
      </c>
      <c r="G92" s="403">
        <v>40</v>
      </c>
      <c r="H92" s="404">
        <v>0.1</v>
      </c>
      <c r="I92" s="404">
        <v>0.8</v>
      </c>
      <c r="J92" s="405">
        <v>3</v>
      </c>
      <c r="K92" s="405">
        <v>10</v>
      </c>
      <c r="L92" s="402">
        <v>1E-4</v>
      </c>
      <c r="M92" s="402">
        <v>2.5000000000000001E-4</v>
      </c>
      <c r="N92" s="403">
        <v>1</v>
      </c>
      <c r="O92" s="403">
        <v>3</v>
      </c>
      <c r="P92" s="406">
        <v>1000</v>
      </c>
      <c r="Q92" s="399">
        <v>2.0499999999999998</v>
      </c>
      <c r="R92" s="277">
        <v>-40</v>
      </c>
      <c r="S92" s="277">
        <v>125</v>
      </c>
      <c r="T92" s="256">
        <v>2400000000</v>
      </c>
      <c r="U92" s="256">
        <v>2400000000</v>
      </c>
      <c r="V92" s="256">
        <v>2400000000</v>
      </c>
      <c r="W92" s="437">
        <v>2</v>
      </c>
      <c r="X92" s="409">
        <v>0</v>
      </c>
      <c r="Y92" s="353">
        <f>ROW()-6</f>
        <v>86</v>
      </c>
      <c r="Z92" s="353" t="str">
        <f>IF(OR($AN$18=Devices[[#This Row],[Input Type]], 0=Devices[[#This Row],[Input Type]]),Devices[[#This Row],[Row Num]], " ")</f>
        <v xml:space="preserve"> </v>
      </c>
      <c r="AA92" s="245">
        <f>IF(OR($AN$19=Devices[[#This Row],[Input Type]], 0=Devices[[#This Row],[Input Type]]),Devices[[#This Row],[Row Num]], " ")</f>
        <v>86</v>
      </c>
      <c r="AB92" s="353" t="str">
        <f>IF(OR($AN$20=Devices[[#This Row],[Input Type]], 0=Devices[[#This Row],[Input Type]]),Devices[[#This Row],[Row Num]], " ")</f>
        <v xml:space="preserve"> </v>
      </c>
      <c r="AC92" s="353" t="str">
        <f>IF(0=Devices[[#This Row],[Input Type]], Devices[[#This Row],[Row Num]], " ")</f>
        <v xml:space="preserve"> </v>
      </c>
      <c r="AD92" s="353">
        <f>IFERROR(SMALL(Devices[Row Sel D], Devices[[#This Row],[Row Num]]), " ")</f>
        <v>113</v>
      </c>
      <c r="AE92" s="245" t="str">
        <f>IFERROR(SMALL(Devices[Row Sel IntRdiv], Devices[[#This Row],[Row Num]]), " ")</f>
        <v xml:space="preserve"> </v>
      </c>
      <c r="AF92" s="353" t="str">
        <f>IFERROR(SMALL(Devices[Row Sel SE], Devices[[#This Row],[Row Num]]), " ")</f>
        <v xml:space="preserve"> </v>
      </c>
      <c r="AG92" s="353" t="str">
        <f>IFERROR(SMALL(Devices[Row Sel N], Devices[[#This Row],[Row Num]]), " ")</f>
        <v xml:space="preserve"> </v>
      </c>
      <c r="AH92" s="353">
        <f>IFERROR(INDEX(Devices[Part], Devices[[#This Row],[Sel D]], 1), "")</f>
        <v>0</v>
      </c>
      <c r="AI92" s="245" t="str">
        <f>IFERROR(INDEX(Devices[Part], Devices[[#This Row],[Sel IntRdiv]], 1), "")</f>
        <v/>
      </c>
      <c r="AJ92" s="353" t="str">
        <f>IFERROR(INDEX(Devices[Part], Devices[[#This Row],[Sel SE]], 1), "")</f>
        <v/>
      </c>
      <c r="AK92" s="353" t="str">
        <f>IFERROR(INDEX(Devices[Part], Devices[[#This Row],[Sel N]], 1), "")</f>
        <v/>
      </c>
      <c r="AM92" s="246"/>
    </row>
    <row r="93" spans="1:39" ht="15" customHeight="1">
      <c r="A93" s="261" t="s">
        <v>534</v>
      </c>
      <c r="B93" s="248" t="s">
        <v>521</v>
      </c>
      <c r="C93" s="352" t="s">
        <v>51</v>
      </c>
      <c r="D93" s="402">
        <v>5.0000000000000001E-4</v>
      </c>
      <c r="E93" s="402">
        <v>2.5000000000000001E-3</v>
      </c>
      <c r="F93" s="403">
        <v>5</v>
      </c>
      <c r="G93" s="403">
        <v>40</v>
      </c>
      <c r="H93" s="404">
        <v>0.1</v>
      </c>
      <c r="I93" s="404">
        <v>0.8</v>
      </c>
      <c r="J93" s="405">
        <v>3</v>
      </c>
      <c r="K93" s="405">
        <v>10</v>
      </c>
      <c r="L93" s="402">
        <v>1E-4</v>
      </c>
      <c r="M93" s="402">
        <v>2.5000000000000001E-4</v>
      </c>
      <c r="N93" s="403">
        <v>1</v>
      </c>
      <c r="O93" s="403">
        <v>3</v>
      </c>
      <c r="P93" s="406">
        <v>1000</v>
      </c>
      <c r="Q93" s="399">
        <v>2.0499999999999998</v>
      </c>
      <c r="R93" s="277">
        <v>-40</v>
      </c>
      <c r="S93" s="277">
        <v>125</v>
      </c>
      <c r="T93" s="256">
        <v>2400000000</v>
      </c>
      <c r="U93" s="256">
        <v>2400000000</v>
      </c>
      <c r="V93" s="256">
        <v>2400000000</v>
      </c>
      <c r="W93" s="437">
        <v>2</v>
      </c>
      <c r="X93" s="409">
        <v>0</v>
      </c>
      <c r="Y93" s="353">
        <f>ROW()-6</f>
        <v>87</v>
      </c>
      <c r="Z93" s="353" t="str">
        <f>IF(OR($AN$18=Devices[[#This Row],[Input Type]], 0=Devices[[#This Row],[Input Type]]),Devices[[#This Row],[Row Num]], " ")</f>
        <v xml:space="preserve"> </v>
      </c>
      <c r="AA93" s="245">
        <f>IF(OR($AN$19=Devices[[#This Row],[Input Type]], 0=Devices[[#This Row],[Input Type]]),Devices[[#This Row],[Row Num]], " ")</f>
        <v>87</v>
      </c>
      <c r="AB93" s="353" t="str">
        <f>IF(OR($AN$20=Devices[[#This Row],[Input Type]], 0=Devices[[#This Row],[Input Type]]),Devices[[#This Row],[Row Num]], " ")</f>
        <v xml:space="preserve"> </v>
      </c>
      <c r="AC93" s="353" t="str">
        <f>IF(0=Devices[[#This Row],[Input Type]], Devices[[#This Row],[Row Num]], " ")</f>
        <v xml:space="preserve"> </v>
      </c>
      <c r="AD93" s="353">
        <f>IFERROR(SMALL(Devices[Row Sel D], Devices[[#This Row],[Row Num]]), " ")</f>
        <v>114</v>
      </c>
      <c r="AE93" s="245" t="str">
        <f>IFERROR(SMALL(Devices[Row Sel IntRdiv], Devices[[#This Row],[Row Num]]), " ")</f>
        <v xml:space="preserve"> </v>
      </c>
      <c r="AF93" s="353" t="str">
        <f>IFERROR(SMALL(Devices[Row Sel SE], Devices[[#This Row],[Row Num]]), " ")</f>
        <v xml:space="preserve"> </v>
      </c>
      <c r="AG93" s="353" t="str">
        <f>IFERROR(SMALL(Devices[Row Sel N], Devices[[#This Row],[Row Num]]), " ")</f>
        <v xml:space="preserve"> </v>
      </c>
      <c r="AH93" s="353">
        <f>IFERROR(INDEX(Devices[Part], Devices[[#This Row],[Sel D]], 1), "")</f>
        <v>0</v>
      </c>
      <c r="AI93" s="245" t="str">
        <f>IFERROR(INDEX(Devices[Part], Devices[[#This Row],[Sel IntRdiv]], 1), "")</f>
        <v/>
      </c>
      <c r="AJ93" s="353" t="str">
        <f>IFERROR(INDEX(Devices[Part], Devices[[#This Row],[Sel SE]], 1), "")</f>
        <v/>
      </c>
      <c r="AK93" s="353" t="str">
        <f>IFERROR(INDEX(Devices[Part], Devices[[#This Row],[Sel N]], 1), "")</f>
        <v/>
      </c>
      <c r="AM93" s="246"/>
    </row>
    <row r="94" spans="1:39" ht="15" customHeight="1">
      <c r="A94" s="261" t="s">
        <v>535</v>
      </c>
      <c r="B94" s="248" t="s">
        <v>521</v>
      </c>
      <c r="C94" s="352" t="s">
        <v>51</v>
      </c>
      <c r="D94" s="402">
        <v>5.0000000000000001E-4</v>
      </c>
      <c r="E94" s="402">
        <v>2.5000000000000001E-3</v>
      </c>
      <c r="F94" s="403">
        <v>20</v>
      </c>
      <c r="G94" s="403">
        <v>40</v>
      </c>
      <c r="H94" s="404">
        <v>0.1</v>
      </c>
      <c r="I94" s="404">
        <v>0.8</v>
      </c>
      <c r="J94" s="405">
        <v>3</v>
      </c>
      <c r="K94" s="405">
        <v>10</v>
      </c>
      <c r="L94" s="402">
        <v>1E-4</v>
      </c>
      <c r="M94" s="402">
        <v>2.9999999999999997E-4</v>
      </c>
      <c r="N94" s="403">
        <v>1</v>
      </c>
      <c r="O94" s="403">
        <v>3</v>
      </c>
      <c r="P94" s="406">
        <v>1000</v>
      </c>
      <c r="Q94" s="399">
        <v>2</v>
      </c>
      <c r="R94" s="277">
        <v>-40</v>
      </c>
      <c r="S94" s="277">
        <v>125</v>
      </c>
      <c r="T94" s="256">
        <v>2400000000</v>
      </c>
      <c r="U94" s="256">
        <v>2400000000</v>
      </c>
      <c r="V94" s="256">
        <v>2400000000</v>
      </c>
      <c r="W94" s="437">
        <v>2</v>
      </c>
      <c r="X94" s="409">
        <v>0</v>
      </c>
      <c r="Y94" s="353">
        <f>ROW()-6</f>
        <v>88</v>
      </c>
      <c r="Z94" s="353" t="str">
        <f>IF(OR($AN$18=Devices[[#This Row],[Input Type]], 0=Devices[[#This Row],[Input Type]]),Devices[[#This Row],[Row Num]], " ")</f>
        <v xml:space="preserve"> </v>
      </c>
      <c r="AA94" s="245">
        <f>IF(OR($AN$19=Devices[[#This Row],[Input Type]], 0=Devices[[#This Row],[Input Type]]),Devices[[#This Row],[Row Num]], " ")</f>
        <v>88</v>
      </c>
      <c r="AB94" s="353" t="str">
        <f>IF(OR($AN$20=Devices[[#This Row],[Input Type]], 0=Devices[[#This Row],[Input Type]]),Devices[[#This Row],[Row Num]], " ")</f>
        <v xml:space="preserve"> </v>
      </c>
      <c r="AC94" s="353" t="str">
        <f>IF(0=Devices[[#This Row],[Input Type]], Devices[[#This Row],[Row Num]], " ")</f>
        <v xml:space="preserve"> </v>
      </c>
      <c r="AD94" s="353">
        <f>IFERROR(SMALL(Devices[Row Sel D], Devices[[#This Row],[Row Num]]), " ")</f>
        <v>115</v>
      </c>
      <c r="AE94" s="245" t="str">
        <f>IFERROR(SMALL(Devices[Row Sel IntRdiv], Devices[[#This Row],[Row Num]]), " ")</f>
        <v xml:space="preserve"> </v>
      </c>
      <c r="AF94" s="353" t="str">
        <f>IFERROR(SMALL(Devices[Row Sel SE], Devices[[#This Row],[Row Num]]), " ")</f>
        <v xml:space="preserve"> </v>
      </c>
      <c r="AG94" s="353" t="str">
        <f>IFERROR(SMALL(Devices[Row Sel N], Devices[[#This Row],[Row Num]]), " ")</f>
        <v xml:space="preserve"> </v>
      </c>
      <c r="AH94" s="353">
        <f>IFERROR(INDEX(Devices[Part], Devices[[#This Row],[Sel D]], 1), "")</f>
        <v>0</v>
      </c>
      <c r="AI94" s="245" t="str">
        <f>IFERROR(INDEX(Devices[Part], Devices[[#This Row],[Sel IntRdiv]], 1), "")</f>
        <v/>
      </c>
      <c r="AJ94" s="353" t="str">
        <f>IFERROR(INDEX(Devices[Part], Devices[[#This Row],[Sel SE]], 1), "")</f>
        <v/>
      </c>
      <c r="AK94" s="353" t="str">
        <f>IFERROR(INDEX(Devices[Part], Devices[[#This Row],[Sel N]], 1), "")</f>
        <v/>
      </c>
      <c r="AM94" s="246"/>
    </row>
    <row r="95" spans="1:39" ht="15" customHeight="1">
      <c r="A95" s="261" t="s">
        <v>536</v>
      </c>
      <c r="B95" s="248" t="s">
        <v>521</v>
      </c>
      <c r="C95" s="352" t="s">
        <v>51</v>
      </c>
      <c r="D95" s="402">
        <v>5.0000000000000001E-4</v>
      </c>
      <c r="E95" s="402">
        <v>2.5000000000000001E-3</v>
      </c>
      <c r="F95" s="403">
        <v>20</v>
      </c>
      <c r="G95" s="403">
        <v>40</v>
      </c>
      <c r="H95" s="404">
        <v>0.1</v>
      </c>
      <c r="I95" s="404">
        <v>0.8</v>
      </c>
      <c r="J95" s="405">
        <v>3</v>
      </c>
      <c r="K95" s="405">
        <v>10</v>
      </c>
      <c r="L95" s="402">
        <v>1E-4</v>
      </c>
      <c r="M95" s="402">
        <v>2.9999999999999997E-4</v>
      </c>
      <c r="N95" s="403">
        <v>1</v>
      </c>
      <c r="O95" s="403">
        <v>3</v>
      </c>
      <c r="P95" s="406">
        <v>1000</v>
      </c>
      <c r="Q95" s="399">
        <v>2</v>
      </c>
      <c r="R95" s="277">
        <v>-40</v>
      </c>
      <c r="S95" s="277">
        <v>125</v>
      </c>
      <c r="T95" s="256">
        <v>2400000000</v>
      </c>
      <c r="U95" s="256">
        <v>2400000000</v>
      </c>
      <c r="V95" s="256">
        <v>2400000000</v>
      </c>
      <c r="W95" s="437">
        <v>2</v>
      </c>
      <c r="X95" s="409">
        <v>0</v>
      </c>
      <c r="Y95" s="245">
        <f>ROW()-6</f>
        <v>89</v>
      </c>
      <c r="Z95" s="245" t="str">
        <f>IF(OR($AN$18=Devices[[#This Row],[Input Type]], 0=Devices[[#This Row],[Input Type]]),Devices[[#This Row],[Row Num]], " ")</f>
        <v xml:space="preserve"> </v>
      </c>
      <c r="AA95" s="245">
        <f>IF(OR($AN$19=Devices[[#This Row],[Input Type]], 0=Devices[[#This Row],[Input Type]]),Devices[[#This Row],[Row Num]], " ")</f>
        <v>89</v>
      </c>
      <c r="AB95" s="245" t="str">
        <f>IF(OR($AN$20=Devices[[#This Row],[Input Type]], 0=Devices[[#This Row],[Input Type]]),Devices[[#This Row],[Row Num]], " ")</f>
        <v xml:space="preserve"> </v>
      </c>
      <c r="AC95" s="245" t="str">
        <f>IF(0=Devices[[#This Row],[Input Type]], Devices[[#This Row],[Row Num]], " ")</f>
        <v xml:space="preserve"> </v>
      </c>
      <c r="AD95" s="245">
        <f>IFERROR(SMALL(Devices[Row Sel D], Devices[[#This Row],[Row Num]]), " ")</f>
        <v>116</v>
      </c>
      <c r="AE95" s="245" t="str">
        <f>IFERROR(SMALL(Devices[Row Sel IntRdiv], Devices[[#This Row],[Row Num]]), " ")</f>
        <v xml:space="preserve"> </v>
      </c>
      <c r="AF95" s="245" t="str">
        <f>IFERROR(SMALL(Devices[Row Sel SE], Devices[[#This Row],[Row Num]]), " ")</f>
        <v xml:space="preserve"> </v>
      </c>
      <c r="AG95" s="245" t="str">
        <f>IFERROR(SMALL(Devices[Row Sel N], Devices[[#This Row],[Row Num]]), " ")</f>
        <v xml:space="preserve"> </v>
      </c>
      <c r="AH95" s="245">
        <f>IFERROR(INDEX(Devices[Part], Devices[[#This Row],[Sel D]], 1), "")</f>
        <v>0</v>
      </c>
      <c r="AI95" s="245" t="str">
        <f>IFERROR(INDEX(Devices[Part], Devices[[#This Row],[Sel IntRdiv]], 1), "")</f>
        <v/>
      </c>
      <c r="AJ95" s="245" t="str">
        <f>IFERROR(INDEX(Devices[Part], Devices[[#This Row],[Sel SE]], 1), "")</f>
        <v/>
      </c>
      <c r="AK95" s="245" t="str">
        <f>IFERROR(INDEX(Devices[Part], Devices[[#This Row],[Sel N]], 1), "")</f>
        <v/>
      </c>
      <c r="AM95" s="246"/>
    </row>
    <row r="96" spans="1:39" ht="15" customHeight="1">
      <c r="A96" s="261"/>
      <c r="B96" s="248"/>
      <c r="C96" s="354"/>
      <c r="D96" s="325"/>
      <c r="E96" s="325"/>
      <c r="F96" s="326"/>
      <c r="G96" s="326"/>
      <c r="H96" s="327"/>
      <c r="I96" s="327"/>
      <c r="J96" s="328"/>
      <c r="K96" s="328"/>
      <c r="L96" s="325"/>
      <c r="M96" s="325"/>
      <c r="N96" s="326"/>
      <c r="O96" s="326"/>
      <c r="P96" s="329"/>
      <c r="Q96" s="330"/>
      <c r="R96" s="330"/>
      <c r="S96" s="330"/>
      <c r="T96" s="322"/>
      <c r="U96" s="322"/>
      <c r="V96" s="322"/>
      <c r="W96" s="323"/>
      <c r="X96" s="324"/>
      <c r="Y96" s="331">
        <f>ROW()-6</f>
        <v>90</v>
      </c>
      <c r="Z96" s="331">
        <f>IF(OR($AN$18=Devices[[#This Row],[Input Type]], 0=Devices[[#This Row],[Input Type]]),Devices[[#This Row],[Row Num]], " ")</f>
        <v>90</v>
      </c>
      <c r="AA96" s="331">
        <f>IF(OR($AN$19=Devices[[#This Row],[Input Type]], 0=Devices[[#This Row],[Input Type]]),Devices[[#This Row],[Row Num]], " ")</f>
        <v>90</v>
      </c>
      <c r="AB96" s="331">
        <f>IF(OR($AN$20=Devices[[#This Row],[Input Type]], 0=Devices[[#This Row],[Input Type]]),Devices[[#This Row],[Row Num]], " ")</f>
        <v>90</v>
      </c>
      <c r="AC96" s="331">
        <f>IF(0=Devices[[#This Row],[Input Type]], Devices[[#This Row],[Row Num]], " ")</f>
        <v>90</v>
      </c>
      <c r="AD96" s="331">
        <f>IFERROR(SMALL(Devices[Row Sel D], Devices[[#This Row],[Row Num]]), " ")</f>
        <v>117</v>
      </c>
      <c r="AE96" s="331" t="str">
        <f>IFERROR(SMALL(Devices[Row Sel IntRdiv], Devices[[#This Row],[Row Num]]), " ")</f>
        <v xml:space="preserve"> </v>
      </c>
      <c r="AF96" s="331" t="str">
        <f>IFERROR(SMALL(Devices[Row Sel SE], Devices[[#This Row],[Row Num]]), " ")</f>
        <v xml:space="preserve"> </v>
      </c>
      <c r="AG96" s="331" t="str">
        <f>IFERROR(SMALL(Devices[Row Sel N], Devices[[#This Row],[Row Num]]), " ")</f>
        <v xml:space="preserve"> </v>
      </c>
      <c r="AH96" s="331">
        <f>IFERROR(INDEX(Devices[Part], Devices[[#This Row],[Sel D]], 1), "")</f>
        <v>0</v>
      </c>
      <c r="AI96" s="331" t="str">
        <f>IFERROR(INDEX(Devices[Part], Devices[[#This Row],[Sel IntRdiv]], 1), "")</f>
        <v/>
      </c>
      <c r="AJ96" s="331" t="str">
        <f>IFERROR(INDEX(Devices[Part], Devices[[#This Row],[Sel SE]], 1), "")</f>
        <v/>
      </c>
      <c r="AK96" s="331" t="str">
        <f>IFERROR(INDEX(Devices[Part], Devices[[#This Row],[Sel N]], 1), "")</f>
        <v/>
      </c>
      <c r="AM96" s="246"/>
    </row>
    <row r="97" spans="1:39" ht="15" customHeight="1">
      <c r="A97" s="261"/>
      <c r="B97" s="248"/>
      <c r="C97" s="354"/>
      <c r="D97" s="325"/>
      <c r="E97" s="325"/>
      <c r="F97" s="326"/>
      <c r="G97" s="326"/>
      <c r="H97" s="327"/>
      <c r="I97" s="327"/>
      <c r="J97" s="328"/>
      <c r="K97" s="328"/>
      <c r="L97" s="325"/>
      <c r="M97" s="272"/>
      <c r="N97" s="326"/>
      <c r="O97" s="326"/>
      <c r="P97" s="329"/>
      <c r="Q97" s="330"/>
      <c r="R97" s="277"/>
      <c r="S97" s="277"/>
      <c r="T97" s="322"/>
      <c r="U97" s="322"/>
      <c r="V97" s="323"/>
      <c r="W97" s="323"/>
      <c r="X97" s="323"/>
      <c r="Y97" s="331">
        <f t="shared" ref="Y97:Y123" si="7">ROW()-6</f>
        <v>91</v>
      </c>
      <c r="Z97" s="331">
        <f>IF(OR($AN$18=Devices[[#This Row],[Input Type]], 0=Devices[[#This Row],[Input Type]]),Devices[[#This Row],[Row Num]], " ")</f>
        <v>91</v>
      </c>
      <c r="AA97" s="331">
        <f>IF(OR($AN$19=Devices[[#This Row],[Input Type]], 0=Devices[[#This Row],[Input Type]]),Devices[[#This Row],[Row Num]], " ")</f>
        <v>91</v>
      </c>
      <c r="AB97" s="331">
        <f>IF(OR($AN$20=Devices[[#This Row],[Input Type]], 0=Devices[[#This Row],[Input Type]]),Devices[[#This Row],[Row Num]], " ")</f>
        <v>91</v>
      </c>
      <c r="AC97" s="331">
        <f>IF(0=Devices[[#This Row],[Input Type]], Devices[[#This Row],[Row Num]], " ")</f>
        <v>91</v>
      </c>
      <c r="AD97" s="331">
        <f>IFERROR(SMALL(Devices[Row Sel D], Devices[[#This Row],[Row Num]]), " ")</f>
        <v>118</v>
      </c>
      <c r="AE97" s="331" t="str">
        <f>IFERROR(SMALL(Devices[Row Sel IntRdiv], Devices[[#This Row],[Row Num]]), " ")</f>
        <v xml:space="preserve"> </v>
      </c>
      <c r="AF97" s="331" t="str">
        <f>IFERROR(SMALL(Devices[Row Sel SE], Devices[[#This Row],[Row Num]]), " ")</f>
        <v xml:space="preserve"> </v>
      </c>
      <c r="AG97" s="331" t="str">
        <f>IFERROR(SMALL(Devices[Row Sel N], Devices[[#This Row],[Row Num]]), " ")</f>
        <v xml:space="preserve"> </v>
      </c>
      <c r="AH97" s="331">
        <f>IFERROR(INDEX(Devices[Part], Devices[[#This Row],[Sel D]], 1), "")</f>
        <v>0</v>
      </c>
      <c r="AI97" s="331" t="str">
        <f>IFERROR(INDEX(Devices[Part], Devices[[#This Row],[Sel IntRdiv]], 1), "")</f>
        <v/>
      </c>
      <c r="AJ97" s="331" t="str">
        <f>IFERROR(INDEX(Devices[Part], Devices[[#This Row],[Sel SE]], 1), "")</f>
        <v/>
      </c>
      <c r="AK97" s="331" t="str">
        <f>IFERROR(INDEX(Devices[Part], Devices[[#This Row],[Sel N]], 1), "")</f>
        <v/>
      </c>
      <c r="AM97" s="246"/>
    </row>
    <row r="98" spans="1:39" ht="15" customHeight="1">
      <c r="A98" s="281"/>
      <c r="B98" s="248"/>
      <c r="C98" s="354"/>
      <c r="D98" s="272"/>
      <c r="E98" s="272"/>
      <c r="F98" s="273"/>
      <c r="G98" s="273"/>
      <c r="H98" s="274"/>
      <c r="I98" s="274"/>
      <c r="J98" s="275"/>
      <c r="K98" s="275"/>
      <c r="L98" s="272"/>
      <c r="M98" s="272"/>
      <c r="N98" s="273"/>
      <c r="O98" s="273"/>
      <c r="P98" s="276"/>
      <c r="Q98" s="295"/>
      <c r="R98" s="295"/>
      <c r="S98" s="295"/>
      <c r="T98" s="256"/>
      <c r="U98" s="256"/>
      <c r="V98" s="278"/>
      <c r="W98" s="278"/>
      <c r="X98" s="259"/>
      <c r="Y98" s="331">
        <f t="shared" si="7"/>
        <v>92</v>
      </c>
      <c r="Z98" s="331">
        <f>IF(OR($AN$18=Devices[[#This Row],[Input Type]], 0=Devices[[#This Row],[Input Type]]),Devices[[#This Row],[Row Num]], " ")</f>
        <v>92</v>
      </c>
      <c r="AA98" s="331">
        <f>IF(OR($AN$19=Devices[[#This Row],[Input Type]], 0=Devices[[#This Row],[Input Type]]),Devices[[#This Row],[Row Num]], " ")</f>
        <v>92</v>
      </c>
      <c r="AB98" s="331">
        <f>IF(OR($AN$20=Devices[[#This Row],[Input Type]], 0=Devices[[#This Row],[Input Type]]),Devices[[#This Row],[Row Num]], " ")</f>
        <v>92</v>
      </c>
      <c r="AC98" s="331">
        <f>IF(0=Devices[[#This Row],[Input Type]], Devices[[#This Row],[Row Num]], " ")</f>
        <v>92</v>
      </c>
      <c r="AD98" s="331">
        <f>IFERROR(SMALL(Devices[Row Sel D], Devices[[#This Row],[Row Num]]), " ")</f>
        <v>119</v>
      </c>
      <c r="AE98" s="331" t="str">
        <f>IFERROR(SMALL(Devices[Row Sel IntRdiv], Devices[[#This Row],[Row Num]]), " ")</f>
        <v xml:space="preserve"> </v>
      </c>
      <c r="AF98" s="331" t="str">
        <f>IFERROR(SMALL(Devices[Row Sel SE], Devices[[#This Row],[Row Num]]), " ")</f>
        <v xml:space="preserve"> </v>
      </c>
      <c r="AG98" s="331" t="str">
        <f>IFERROR(SMALL(Devices[Row Sel N], Devices[[#This Row],[Row Num]]), " ")</f>
        <v xml:space="preserve"> </v>
      </c>
      <c r="AH98" s="331">
        <f>IFERROR(INDEX(Devices[Part], Devices[[#This Row],[Sel D]], 1), "")</f>
        <v>0</v>
      </c>
      <c r="AI98" s="331" t="str">
        <f>IFERROR(INDEX(Devices[Part], Devices[[#This Row],[Sel IntRdiv]], 1), "")</f>
        <v/>
      </c>
      <c r="AJ98" s="331" t="str">
        <f>IFERROR(INDEX(Devices[Part], Devices[[#This Row],[Sel SE]], 1), "")</f>
        <v/>
      </c>
      <c r="AK98" s="331" t="str">
        <f>IFERROR(INDEX(Devices[Part], Devices[[#This Row],[Sel N]], 1), "")</f>
        <v/>
      </c>
      <c r="AM98" s="246"/>
    </row>
    <row r="99" spans="1:39" ht="15" customHeight="1">
      <c r="A99" s="281"/>
      <c r="B99" s="248"/>
      <c r="C99" s="354"/>
      <c r="D99" s="325"/>
      <c r="E99" s="325"/>
      <c r="F99" s="326"/>
      <c r="G99" s="326"/>
      <c r="H99" s="327"/>
      <c r="I99" s="327"/>
      <c r="J99" s="328"/>
      <c r="K99" s="328"/>
      <c r="L99" s="325"/>
      <c r="M99" s="325"/>
      <c r="N99" s="326"/>
      <c r="O99" s="326"/>
      <c r="P99" s="329"/>
      <c r="Q99" s="330"/>
      <c r="R99" s="332"/>
      <c r="S99" s="332"/>
      <c r="T99" s="322"/>
      <c r="U99" s="322"/>
      <c r="V99" s="323"/>
      <c r="W99" s="323"/>
      <c r="X99" s="324"/>
      <c r="Y99" s="331">
        <f t="shared" si="7"/>
        <v>93</v>
      </c>
      <c r="Z99" s="331">
        <f>IF(OR($AN$18=Devices[[#This Row],[Input Type]], 0=Devices[[#This Row],[Input Type]]),Devices[[#This Row],[Row Num]], " ")</f>
        <v>93</v>
      </c>
      <c r="AA99" s="331">
        <f>IF(OR($AN$19=Devices[[#This Row],[Input Type]], 0=Devices[[#This Row],[Input Type]]),Devices[[#This Row],[Row Num]], " ")</f>
        <v>93</v>
      </c>
      <c r="AB99" s="331">
        <f>IF(OR($AN$20=Devices[[#This Row],[Input Type]], 0=Devices[[#This Row],[Input Type]]),Devices[[#This Row],[Row Num]], " ")</f>
        <v>93</v>
      </c>
      <c r="AC99" s="331">
        <f>IF(0=Devices[[#This Row],[Input Type]], Devices[[#This Row],[Row Num]], " ")</f>
        <v>93</v>
      </c>
      <c r="AD99" s="331">
        <f>IFERROR(SMALL(Devices[Row Sel D], Devices[[#This Row],[Row Num]]), " ")</f>
        <v>120</v>
      </c>
      <c r="AE99" s="331" t="str">
        <f>IFERROR(SMALL(Devices[Row Sel IntRdiv], Devices[[#This Row],[Row Num]]), " ")</f>
        <v xml:space="preserve"> </v>
      </c>
      <c r="AF99" s="331" t="str">
        <f>IFERROR(SMALL(Devices[Row Sel SE], Devices[[#This Row],[Row Num]]), " ")</f>
        <v xml:space="preserve"> </v>
      </c>
      <c r="AG99" s="331" t="str">
        <f>IFERROR(SMALL(Devices[Row Sel N], Devices[[#This Row],[Row Num]]), " ")</f>
        <v xml:space="preserve"> </v>
      </c>
      <c r="AH99" s="331">
        <f>IFERROR(INDEX(Devices[Part], Devices[[#This Row],[Sel D]], 1), "")</f>
        <v>0</v>
      </c>
      <c r="AI99" s="331" t="str">
        <f>IFERROR(INDEX(Devices[Part], Devices[[#This Row],[Sel IntRdiv]], 1), "")</f>
        <v/>
      </c>
      <c r="AJ99" s="331" t="str">
        <f>IFERROR(INDEX(Devices[Part], Devices[[#This Row],[Sel SE]], 1), "")</f>
        <v/>
      </c>
      <c r="AK99" s="331" t="str">
        <f>IFERROR(INDEX(Devices[Part], Devices[[#This Row],[Sel N]], 1), "")</f>
        <v/>
      </c>
      <c r="AM99" s="246"/>
    </row>
    <row r="100" spans="1:39" ht="15" customHeight="1">
      <c r="A100" s="281"/>
      <c r="B100" s="248"/>
      <c r="C100" s="354"/>
      <c r="D100" s="325"/>
      <c r="E100" s="325"/>
      <c r="F100" s="326"/>
      <c r="G100" s="326"/>
      <c r="H100" s="327"/>
      <c r="I100" s="327"/>
      <c r="J100" s="328"/>
      <c r="K100" s="328"/>
      <c r="L100" s="325"/>
      <c r="M100" s="325"/>
      <c r="N100" s="326"/>
      <c r="O100" s="326"/>
      <c r="P100" s="329"/>
      <c r="Q100" s="330"/>
      <c r="R100" s="332"/>
      <c r="S100" s="332"/>
      <c r="T100" s="322"/>
      <c r="U100" s="322"/>
      <c r="V100" s="323"/>
      <c r="W100" s="323"/>
      <c r="X100" s="324"/>
      <c r="Y100" s="331">
        <f t="shared" si="7"/>
        <v>94</v>
      </c>
      <c r="Z100" s="331">
        <f>IF(OR($AN$18=Devices[[#This Row],[Input Type]], 0=Devices[[#This Row],[Input Type]]),Devices[[#This Row],[Row Num]], " ")</f>
        <v>94</v>
      </c>
      <c r="AA100" s="331">
        <f>IF(OR($AN$19=Devices[[#This Row],[Input Type]], 0=Devices[[#This Row],[Input Type]]),Devices[[#This Row],[Row Num]], " ")</f>
        <v>94</v>
      </c>
      <c r="AB100" s="331">
        <f>IF(OR($AN$20=Devices[[#This Row],[Input Type]], 0=Devices[[#This Row],[Input Type]]),Devices[[#This Row],[Row Num]], " ")</f>
        <v>94</v>
      </c>
      <c r="AC100" s="331">
        <f>IF(0=Devices[[#This Row],[Input Type]], Devices[[#This Row],[Row Num]], " ")</f>
        <v>94</v>
      </c>
      <c r="AD100" s="331">
        <f>IFERROR(SMALL(Devices[Row Sel D], Devices[[#This Row],[Row Num]]), " ")</f>
        <v>121</v>
      </c>
      <c r="AE100" s="331" t="str">
        <f>IFERROR(SMALL(Devices[Row Sel IntRdiv], Devices[[#This Row],[Row Num]]), " ")</f>
        <v xml:space="preserve"> </v>
      </c>
      <c r="AF100" s="331" t="str">
        <f>IFERROR(SMALL(Devices[Row Sel SE], Devices[[#This Row],[Row Num]]), " ")</f>
        <v xml:space="preserve"> </v>
      </c>
      <c r="AG100" s="331" t="str">
        <f>IFERROR(SMALL(Devices[Row Sel N], Devices[[#This Row],[Row Num]]), " ")</f>
        <v xml:space="preserve"> </v>
      </c>
      <c r="AH100" s="331">
        <f>IFERROR(INDEX(Devices[Part], Devices[[#This Row],[Sel D]], 1), "")</f>
        <v>0</v>
      </c>
      <c r="AI100" s="331" t="str">
        <f>IFERROR(INDEX(Devices[Part], Devices[[#This Row],[Sel IntRdiv]], 1), "")</f>
        <v/>
      </c>
      <c r="AJ100" s="331" t="str">
        <f>IFERROR(INDEX(Devices[Part], Devices[[#This Row],[Sel SE]], 1), "")</f>
        <v/>
      </c>
      <c r="AK100" s="331" t="str">
        <f>IFERROR(INDEX(Devices[Part], Devices[[#This Row],[Sel N]], 1), "")</f>
        <v/>
      </c>
      <c r="AM100" s="246"/>
    </row>
    <row r="101" spans="1:39" ht="15" customHeight="1">
      <c r="A101" s="281"/>
      <c r="B101" s="248"/>
      <c r="C101" s="354"/>
      <c r="D101" s="272"/>
      <c r="E101" s="272"/>
      <c r="F101" s="273"/>
      <c r="G101" s="273"/>
      <c r="H101" s="274"/>
      <c r="I101" s="274"/>
      <c r="J101" s="275"/>
      <c r="K101" s="275"/>
      <c r="L101" s="272"/>
      <c r="M101" s="272"/>
      <c r="N101" s="273"/>
      <c r="O101" s="273"/>
      <c r="P101" s="276"/>
      <c r="Q101" s="295"/>
      <c r="R101" s="332"/>
      <c r="S101" s="332"/>
      <c r="T101" s="256"/>
      <c r="U101" s="256"/>
      <c r="V101" s="278"/>
      <c r="W101" s="278"/>
      <c r="X101" s="259"/>
      <c r="Y101" s="331">
        <f t="shared" si="7"/>
        <v>95</v>
      </c>
      <c r="Z101" s="331">
        <f>IF(OR($AN$18=Devices[[#This Row],[Input Type]], 0=Devices[[#This Row],[Input Type]]),Devices[[#This Row],[Row Num]], " ")</f>
        <v>95</v>
      </c>
      <c r="AA101" s="331">
        <f>IF(OR($AN$19=Devices[[#This Row],[Input Type]], 0=Devices[[#This Row],[Input Type]]),Devices[[#This Row],[Row Num]], " ")</f>
        <v>95</v>
      </c>
      <c r="AB101" s="331">
        <f>IF(OR($AN$20=Devices[[#This Row],[Input Type]], 0=Devices[[#This Row],[Input Type]]),Devices[[#This Row],[Row Num]], " ")</f>
        <v>95</v>
      </c>
      <c r="AC101" s="331">
        <f>IF(0=Devices[[#This Row],[Input Type]], Devices[[#This Row],[Row Num]], " ")</f>
        <v>95</v>
      </c>
      <c r="AD101" s="331">
        <f>IFERROR(SMALL(Devices[Row Sel D], Devices[[#This Row],[Row Num]]), " ")</f>
        <v>122</v>
      </c>
      <c r="AE101" s="331" t="str">
        <f>IFERROR(SMALL(Devices[Row Sel IntRdiv], Devices[[#This Row],[Row Num]]), " ")</f>
        <v xml:space="preserve"> </v>
      </c>
      <c r="AF101" s="331" t="str">
        <f>IFERROR(SMALL(Devices[Row Sel SE], Devices[[#This Row],[Row Num]]), " ")</f>
        <v xml:space="preserve"> </v>
      </c>
      <c r="AG101" s="331" t="str">
        <f>IFERROR(SMALL(Devices[Row Sel N], Devices[[#This Row],[Row Num]]), " ")</f>
        <v xml:space="preserve"> </v>
      </c>
      <c r="AH101" s="331">
        <f>IFERROR(INDEX(Devices[Part], Devices[[#This Row],[Sel D]], 1), "")</f>
        <v>0</v>
      </c>
      <c r="AI101" s="331" t="str">
        <f>IFERROR(INDEX(Devices[Part], Devices[[#This Row],[Sel IntRdiv]], 1), "")</f>
        <v/>
      </c>
      <c r="AJ101" s="331" t="str">
        <f>IFERROR(INDEX(Devices[Part], Devices[[#This Row],[Sel SE]], 1), "")</f>
        <v/>
      </c>
      <c r="AK101" s="331" t="str">
        <f>IFERROR(INDEX(Devices[Part], Devices[[#This Row],[Sel N]], 1), "")</f>
        <v/>
      </c>
      <c r="AM101" s="246"/>
    </row>
    <row r="102" spans="1:39" ht="15" customHeight="1">
      <c r="A102" s="281"/>
      <c r="B102" s="248"/>
      <c r="C102" s="354"/>
      <c r="D102" s="325"/>
      <c r="E102" s="325"/>
      <c r="F102" s="326"/>
      <c r="G102" s="326"/>
      <c r="H102" s="327"/>
      <c r="I102" s="327"/>
      <c r="J102" s="328"/>
      <c r="K102" s="328"/>
      <c r="L102" s="325"/>
      <c r="M102" s="325"/>
      <c r="N102" s="326"/>
      <c r="O102" s="326"/>
      <c r="P102" s="329"/>
      <c r="Q102" s="330"/>
      <c r="R102" s="332"/>
      <c r="S102" s="332"/>
      <c r="T102" s="322"/>
      <c r="U102" s="322"/>
      <c r="V102" s="323"/>
      <c r="W102" s="323"/>
      <c r="X102" s="324"/>
      <c r="Y102" s="331">
        <f t="shared" si="7"/>
        <v>96</v>
      </c>
      <c r="Z102" s="331">
        <f>IF(OR($AN$18=Devices[[#This Row],[Input Type]], 0=Devices[[#This Row],[Input Type]]),Devices[[#This Row],[Row Num]], " ")</f>
        <v>96</v>
      </c>
      <c r="AA102" s="331">
        <f>IF(OR($AN$19=Devices[[#This Row],[Input Type]], 0=Devices[[#This Row],[Input Type]]),Devices[[#This Row],[Row Num]], " ")</f>
        <v>96</v>
      </c>
      <c r="AB102" s="331">
        <f>IF(OR($AN$20=Devices[[#This Row],[Input Type]], 0=Devices[[#This Row],[Input Type]]),Devices[[#This Row],[Row Num]], " ")</f>
        <v>96</v>
      </c>
      <c r="AC102" s="331">
        <f>IF(0=Devices[[#This Row],[Input Type]], Devices[[#This Row],[Row Num]], " ")</f>
        <v>96</v>
      </c>
      <c r="AD102" s="331">
        <f>IFERROR(SMALL(Devices[Row Sel D], Devices[[#This Row],[Row Num]]), " ")</f>
        <v>123</v>
      </c>
      <c r="AE102" s="331" t="str">
        <f>IFERROR(SMALL(Devices[Row Sel IntRdiv], Devices[[#This Row],[Row Num]]), " ")</f>
        <v xml:space="preserve"> </v>
      </c>
      <c r="AF102" s="331" t="str">
        <f>IFERROR(SMALL(Devices[Row Sel SE], Devices[[#This Row],[Row Num]]), " ")</f>
        <v xml:space="preserve"> </v>
      </c>
      <c r="AG102" s="331" t="str">
        <f>IFERROR(SMALL(Devices[Row Sel N], Devices[[#This Row],[Row Num]]), " ")</f>
        <v xml:space="preserve"> </v>
      </c>
      <c r="AH102" s="331">
        <f>IFERROR(INDEX(Devices[Part], Devices[[#This Row],[Sel D]], 1), "")</f>
        <v>0</v>
      </c>
      <c r="AI102" s="331" t="str">
        <f>IFERROR(INDEX(Devices[Part], Devices[[#This Row],[Sel IntRdiv]], 1), "")</f>
        <v/>
      </c>
      <c r="AJ102" s="331" t="str">
        <f>IFERROR(INDEX(Devices[Part], Devices[[#This Row],[Sel SE]], 1), "")</f>
        <v/>
      </c>
      <c r="AK102" s="331" t="str">
        <f>IFERROR(INDEX(Devices[Part], Devices[[#This Row],[Sel N]], 1), "")</f>
        <v/>
      </c>
      <c r="AM102" s="246"/>
    </row>
    <row r="103" spans="1:39" ht="15" customHeight="1">
      <c r="A103" s="281"/>
      <c r="B103" s="248"/>
      <c r="C103" s="354"/>
      <c r="D103" s="325"/>
      <c r="E103" s="325"/>
      <c r="F103" s="326"/>
      <c r="G103" s="326"/>
      <c r="H103" s="327"/>
      <c r="I103" s="327"/>
      <c r="J103" s="328"/>
      <c r="K103" s="328"/>
      <c r="L103" s="325"/>
      <c r="M103" s="325"/>
      <c r="N103" s="326"/>
      <c r="O103" s="326"/>
      <c r="P103" s="329"/>
      <c r="Q103" s="330"/>
      <c r="R103" s="332"/>
      <c r="S103" s="332"/>
      <c r="T103" s="322"/>
      <c r="U103" s="322"/>
      <c r="V103" s="323"/>
      <c r="W103" s="323"/>
      <c r="X103" s="324"/>
      <c r="Y103" s="331">
        <f t="shared" si="7"/>
        <v>97</v>
      </c>
      <c r="Z103" s="331">
        <f>IF(OR($AN$18=Devices[[#This Row],[Input Type]], 0=Devices[[#This Row],[Input Type]]),Devices[[#This Row],[Row Num]], " ")</f>
        <v>97</v>
      </c>
      <c r="AA103" s="331">
        <f>IF(OR($AN$19=Devices[[#This Row],[Input Type]], 0=Devices[[#This Row],[Input Type]]),Devices[[#This Row],[Row Num]], " ")</f>
        <v>97</v>
      </c>
      <c r="AB103" s="331">
        <f>IF(OR($AN$20=Devices[[#This Row],[Input Type]], 0=Devices[[#This Row],[Input Type]]),Devices[[#This Row],[Row Num]], " ")</f>
        <v>97</v>
      </c>
      <c r="AC103" s="331">
        <f>IF(0=Devices[[#This Row],[Input Type]], Devices[[#This Row],[Row Num]], " ")</f>
        <v>97</v>
      </c>
      <c r="AD103" s="331">
        <f>IFERROR(SMALL(Devices[Row Sel D], Devices[[#This Row],[Row Num]]), " ")</f>
        <v>124</v>
      </c>
      <c r="AE103" s="331" t="str">
        <f>IFERROR(SMALL(Devices[Row Sel IntRdiv], Devices[[#This Row],[Row Num]]), " ")</f>
        <v xml:space="preserve"> </v>
      </c>
      <c r="AF103" s="331" t="str">
        <f>IFERROR(SMALL(Devices[Row Sel SE], Devices[[#This Row],[Row Num]]), " ")</f>
        <v xml:space="preserve"> </v>
      </c>
      <c r="AG103" s="331" t="str">
        <f>IFERROR(SMALL(Devices[Row Sel N], Devices[[#This Row],[Row Num]]), " ")</f>
        <v xml:space="preserve"> </v>
      </c>
      <c r="AH103" s="331">
        <f>IFERROR(INDEX(Devices[Part], Devices[[#This Row],[Sel D]], 1), "")</f>
        <v>0</v>
      </c>
      <c r="AI103" s="331" t="str">
        <f>IFERROR(INDEX(Devices[Part], Devices[[#This Row],[Sel IntRdiv]], 1), "")</f>
        <v/>
      </c>
      <c r="AJ103" s="331" t="str">
        <f>IFERROR(INDEX(Devices[Part], Devices[[#This Row],[Sel SE]], 1), "")</f>
        <v/>
      </c>
      <c r="AK103" s="331" t="str">
        <f>IFERROR(INDEX(Devices[Part], Devices[[#This Row],[Sel N]], 1), "")</f>
        <v/>
      </c>
      <c r="AM103" s="246"/>
    </row>
    <row r="104" spans="1:39" ht="15" customHeight="1">
      <c r="A104" s="281"/>
      <c r="B104" s="248"/>
      <c r="C104" s="354"/>
      <c r="D104" s="325"/>
      <c r="E104" s="325"/>
      <c r="F104" s="326"/>
      <c r="G104" s="326"/>
      <c r="H104" s="327"/>
      <c r="I104" s="327"/>
      <c r="J104" s="328"/>
      <c r="K104" s="328"/>
      <c r="L104" s="325"/>
      <c r="M104" s="325"/>
      <c r="N104" s="326"/>
      <c r="O104" s="326"/>
      <c r="P104" s="329"/>
      <c r="Q104" s="330"/>
      <c r="R104" s="332"/>
      <c r="S104" s="332"/>
      <c r="T104" s="322"/>
      <c r="U104" s="322"/>
      <c r="V104" s="323"/>
      <c r="W104" s="323"/>
      <c r="X104" s="324"/>
      <c r="Y104" s="331">
        <f t="shared" si="7"/>
        <v>98</v>
      </c>
      <c r="Z104" s="331">
        <f>IF(OR($AN$18=Devices[[#This Row],[Input Type]], 0=Devices[[#This Row],[Input Type]]),Devices[[#This Row],[Row Num]], " ")</f>
        <v>98</v>
      </c>
      <c r="AA104" s="331">
        <f>IF(OR($AN$19=Devices[[#This Row],[Input Type]], 0=Devices[[#This Row],[Input Type]]),Devices[[#This Row],[Row Num]], " ")</f>
        <v>98</v>
      </c>
      <c r="AB104" s="331">
        <f>IF(OR($AN$20=Devices[[#This Row],[Input Type]], 0=Devices[[#This Row],[Input Type]]),Devices[[#This Row],[Row Num]], " ")</f>
        <v>98</v>
      </c>
      <c r="AC104" s="331">
        <f>IF(0=Devices[[#This Row],[Input Type]], Devices[[#This Row],[Row Num]], " ")</f>
        <v>98</v>
      </c>
      <c r="AD104" s="331">
        <f>IFERROR(SMALL(Devices[Row Sel D], Devices[[#This Row],[Row Num]]), " ")</f>
        <v>125</v>
      </c>
      <c r="AE104" s="331" t="str">
        <f>IFERROR(SMALL(Devices[Row Sel IntRdiv], Devices[[#This Row],[Row Num]]), " ")</f>
        <v xml:space="preserve"> </v>
      </c>
      <c r="AF104" s="331" t="str">
        <f>IFERROR(SMALL(Devices[Row Sel SE], Devices[[#This Row],[Row Num]]), " ")</f>
        <v xml:space="preserve"> </v>
      </c>
      <c r="AG104" s="331" t="str">
        <f>IFERROR(SMALL(Devices[Row Sel N], Devices[[#This Row],[Row Num]]), " ")</f>
        <v xml:space="preserve"> </v>
      </c>
      <c r="AH104" s="331">
        <f>IFERROR(INDEX(Devices[Part], Devices[[#This Row],[Sel D]], 1), "")</f>
        <v>0</v>
      </c>
      <c r="AI104" s="331" t="str">
        <f>IFERROR(INDEX(Devices[Part], Devices[[#This Row],[Sel IntRdiv]], 1), "")</f>
        <v/>
      </c>
      <c r="AJ104" s="331" t="str">
        <f>IFERROR(INDEX(Devices[Part], Devices[[#This Row],[Sel SE]], 1), "")</f>
        <v/>
      </c>
      <c r="AK104" s="331" t="str">
        <f>IFERROR(INDEX(Devices[Part], Devices[[#This Row],[Sel N]], 1), "")</f>
        <v/>
      </c>
      <c r="AM104" s="246"/>
    </row>
    <row r="105" spans="1:39" ht="15" customHeight="1">
      <c r="A105" s="281"/>
      <c r="B105" s="248"/>
      <c r="C105" s="354"/>
      <c r="D105" s="325"/>
      <c r="E105" s="325"/>
      <c r="F105" s="326"/>
      <c r="G105" s="326"/>
      <c r="H105" s="327"/>
      <c r="I105" s="327"/>
      <c r="J105" s="328"/>
      <c r="K105" s="328"/>
      <c r="L105" s="325"/>
      <c r="M105" s="325"/>
      <c r="N105" s="326"/>
      <c r="O105" s="326"/>
      <c r="P105" s="329"/>
      <c r="Q105" s="330"/>
      <c r="R105" s="332"/>
      <c r="S105" s="332"/>
      <c r="T105" s="322"/>
      <c r="U105" s="322"/>
      <c r="V105" s="323"/>
      <c r="W105" s="323"/>
      <c r="X105" s="324"/>
      <c r="Y105" s="331">
        <f t="shared" si="7"/>
        <v>99</v>
      </c>
      <c r="Z105" s="331">
        <f>IF(OR($AN$18=Devices[[#This Row],[Input Type]], 0=Devices[[#This Row],[Input Type]]),Devices[[#This Row],[Row Num]], " ")</f>
        <v>99</v>
      </c>
      <c r="AA105" s="331">
        <f>IF(OR($AN$19=Devices[[#This Row],[Input Type]], 0=Devices[[#This Row],[Input Type]]),Devices[[#This Row],[Row Num]], " ")</f>
        <v>99</v>
      </c>
      <c r="AB105" s="331">
        <f>IF(OR($AN$20=Devices[[#This Row],[Input Type]], 0=Devices[[#This Row],[Input Type]]),Devices[[#This Row],[Row Num]], " ")</f>
        <v>99</v>
      </c>
      <c r="AC105" s="331">
        <f>IF(0=Devices[[#This Row],[Input Type]], Devices[[#This Row],[Row Num]], " ")</f>
        <v>99</v>
      </c>
      <c r="AD105" s="331">
        <f>IFERROR(SMALL(Devices[Row Sel D], Devices[[#This Row],[Row Num]]), " ")</f>
        <v>126</v>
      </c>
      <c r="AE105" s="331" t="str">
        <f>IFERROR(SMALL(Devices[Row Sel IntRdiv], Devices[[#This Row],[Row Num]]), " ")</f>
        <v xml:space="preserve"> </v>
      </c>
      <c r="AF105" s="331" t="str">
        <f>IFERROR(SMALL(Devices[Row Sel SE], Devices[[#This Row],[Row Num]]), " ")</f>
        <v xml:space="preserve"> </v>
      </c>
      <c r="AG105" s="331" t="str">
        <f>IFERROR(SMALL(Devices[Row Sel N], Devices[[#This Row],[Row Num]]), " ")</f>
        <v xml:space="preserve"> </v>
      </c>
      <c r="AH105" s="331">
        <f>IFERROR(INDEX(Devices[Part], Devices[[#This Row],[Sel D]], 1), "")</f>
        <v>0</v>
      </c>
      <c r="AI105" s="331" t="str">
        <f>IFERROR(INDEX(Devices[Part], Devices[[#This Row],[Sel IntRdiv]], 1), "")</f>
        <v/>
      </c>
      <c r="AJ105" s="331" t="str">
        <f>IFERROR(INDEX(Devices[Part], Devices[[#This Row],[Sel SE]], 1), "")</f>
        <v/>
      </c>
      <c r="AK105" s="331" t="str">
        <f>IFERROR(INDEX(Devices[Part], Devices[[#This Row],[Sel N]], 1), "")</f>
        <v/>
      </c>
      <c r="AM105" s="246"/>
    </row>
    <row r="106" spans="1:39" ht="15" customHeight="1">
      <c r="A106" s="261"/>
      <c r="B106" s="248"/>
      <c r="C106" s="354"/>
      <c r="D106" s="325"/>
      <c r="E106" s="325"/>
      <c r="F106" s="326"/>
      <c r="G106" s="326"/>
      <c r="H106" s="327"/>
      <c r="I106" s="327"/>
      <c r="J106" s="328"/>
      <c r="K106" s="328"/>
      <c r="L106" s="325"/>
      <c r="M106" s="325"/>
      <c r="N106" s="326"/>
      <c r="O106" s="326"/>
      <c r="P106" s="329"/>
      <c r="Q106" s="330"/>
      <c r="R106" s="332"/>
      <c r="S106" s="332"/>
      <c r="T106" s="322"/>
      <c r="U106" s="322"/>
      <c r="V106" s="323"/>
      <c r="W106" s="323"/>
      <c r="X106" s="324"/>
      <c r="Y106" s="331">
        <f t="shared" si="7"/>
        <v>100</v>
      </c>
      <c r="Z106" s="331">
        <f>IF(OR($AN$18=Devices[[#This Row],[Input Type]], 0=Devices[[#This Row],[Input Type]]),Devices[[#This Row],[Row Num]], " ")</f>
        <v>100</v>
      </c>
      <c r="AA106" s="331">
        <f>IF(OR($AN$19=Devices[[#This Row],[Input Type]], 0=Devices[[#This Row],[Input Type]]),Devices[[#This Row],[Row Num]], " ")</f>
        <v>100</v>
      </c>
      <c r="AB106" s="331">
        <f>IF(OR($AN$20=Devices[[#This Row],[Input Type]], 0=Devices[[#This Row],[Input Type]]),Devices[[#This Row],[Row Num]], " ")</f>
        <v>100</v>
      </c>
      <c r="AC106" s="331">
        <f>IF(0=Devices[[#This Row],[Input Type]], Devices[[#This Row],[Row Num]], " ")</f>
        <v>100</v>
      </c>
      <c r="AD106" s="331">
        <f>IFERROR(SMALL(Devices[Row Sel D], Devices[[#This Row],[Row Num]]), " ")</f>
        <v>127</v>
      </c>
      <c r="AE106" s="331" t="str">
        <f>IFERROR(SMALL(Devices[Row Sel IntRdiv], Devices[[#This Row],[Row Num]]), " ")</f>
        <v xml:space="preserve"> </v>
      </c>
      <c r="AF106" s="331" t="str">
        <f>IFERROR(SMALL(Devices[Row Sel SE], Devices[[#This Row],[Row Num]]), " ")</f>
        <v xml:space="preserve"> </v>
      </c>
      <c r="AG106" s="331" t="str">
        <f>IFERROR(SMALL(Devices[Row Sel N], Devices[[#This Row],[Row Num]]), " ")</f>
        <v xml:space="preserve"> </v>
      </c>
      <c r="AH106" s="331">
        <f>IFERROR(INDEX(Devices[Part], Devices[[#This Row],[Sel D]], 1), "")</f>
        <v>0</v>
      </c>
      <c r="AI106" s="331" t="str">
        <f>IFERROR(INDEX(Devices[Part], Devices[[#This Row],[Sel IntRdiv]], 1), "")</f>
        <v/>
      </c>
      <c r="AJ106" s="331" t="str">
        <f>IFERROR(INDEX(Devices[Part], Devices[[#This Row],[Sel SE]], 1), "")</f>
        <v/>
      </c>
      <c r="AK106" s="331" t="str">
        <f>IFERROR(INDEX(Devices[Part], Devices[[#This Row],[Sel N]], 1), "")</f>
        <v/>
      </c>
      <c r="AM106" s="246"/>
    </row>
    <row r="107" spans="1:39" ht="15" customHeight="1">
      <c r="A107" s="261"/>
      <c r="B107" s="248"/>
      <c r="C107" s="354"/>
      <c r="D107" s="325"/>
      <c r="E107" s="325"/>
      <c r="F107" s="326"/>
      <c r="G107" s="326"/>
      <c r="H107" s="327"/>
      <c r="I107" s="327"/>
      <c r="J107" s="328"/>
      <c r="K107" s="328"/>
      <c r="L107" s="325"/>
      <c r="M107" s="325"/>
      <c r="N107" s="326"/>
      <c r="O107" s="326"/>
      <c r="P107" s="329"/>
      <c r="Q107" s="330"/>
      <c r="R107" s="332"/>
      <c r="S107" s="332"/>
      <c r="T107" s="322"/>
      <c r="U107" s="322"/>
      <c r="V107" s="323"/>
      <c r="W107" s="323"/>
      <c r="X107" s="324"/>
      <c r="Y107" s="331">
        <f t="shared" si="7"/>
        <v>101</v>
      </c>
      <c r="Z107" s="331">
        <f>IF(OR($AN$18=Devices[[#This Row],[Input Type]], 0=Devices[[#This Row],[Input Type]]),Devices[[#This Row],[Row Num]], " ")</f>
        <v>101</v>
      </c>
      <c r="AA107" s="331">
        <f>IF(OR($AN$19=Devices[[#This Row],[Input Type]], 0=Devices[[#This Row],[Input Type]]),Devices[[#This Row],[Row Num]], " ")</f>
        <v>101</v>
      </c>
      <c r="AB107" s="331">
        <f>IF(OR($AN$20=Devices[[#This Row],[Input Type]], 0=Devices[[#This Row],[Input Type]]),Devices[[#This Row],[Row Num]], " ")</f>
        <v>101</v>
      </c>
      <c r="AC107" s="331">
        <f>IF(0=Devices[[#This Row],[Input Type]], Devices[[#This Row],[Row Num]], " ")</f>
        <v>101</v>
      </c>
      <c r="AD107" s="331" t="str">
        <f>IFERROR(SMALL(Devices[Row Sel D], Devices[[#This Row],[Row Num]]), " ")</f>
        <v xml:space="preserve"> </v>
      </c>
      <c r="AE107" s="331" t="str">
        <f>IFERROR(SMALL(Devices[Row Sel IntRdiv], Devices[[#This Row],[Row Num]]), " ")</f>
        <v xml:space="preserve"> </v>
      </c>
      <c r="AF107" s="331" t="str">
        <f>IFERROR(SMALL(Devices[Row Sel SE], Devices[[#This Row],[Row Num]]), " ")</f>
        <v xml:space="preserve"> </v>
      </c>
      <c r="AG107" s="331" t="str">
        <f>IFERROR(SMALL(Devices[Row Sel N], Devices[[#This Row],[Row Num]]), " ")</f>
        <v xml:space="preserve"> </v>
      </c>
      <c r="AH107" s="331" t="str">
        <f>IFERROR(INDEX(Devices[Part], Devices[[#This Row],[Sel D]], 1), "")</f>
        <v/>
      </c>
      <c r="AI107" s="331" t="str">
        <f>IFERROR(INDEX(Devices[Part], Devices[[#This Row],[Sel IntRdiv]], 1), "")</f>
        <v/>
      </c>
      <c r="AJ107" s="331" t="str">
        <f>IFERROR(INDEX(Devices[Part], Devices[[#This Row],[Sel SE]], 1), "")</f>
        <v/>
      </c>
      <c r="AK107" s="331" t="str">
        <f>IFERROR(INDEX(Devices[Part], Devices[[#This Row],[Sel N]], 1), "")</f>
        <v/>
      </c>
      <c r="AM107" s="246"/>
    </row>
    <row r="108" spans="1:39" ht="15" customHeight="1">
      <c r="A108" s="261"/>
      <c r="B108" s="248"/>
      <c r="C108" s="354"/>
      <c r="D108" s="325"/>
      <c r="E108" s="325"/>
      <c r="F108" s="326"/>
      <c r="G108" s="326"/>
      <c r="H108" s="327"/>
      <c r="I108" s="327"/>
      <c r="J108" s="328"/>
      <c r="K108" s="328"/>
      <c r="L108" s="325"/>
      <c r="M108" s="325"/>
      <c r="N108" s="326"/>
      <c r="O108" s="326"/>
      <c r="P108" s="329"/>
      <c r="Q108" s="330"/>
      <c r="R108" s="332"/>
      <c r="S108" s="332"/>
      <c r="T108" s="322"/>
      <c r="U108" s="322"/>
      <c r="V108" s="323"/>
      <c r="W108" s="323"/>
      <c r="X108" s="324"/>
      <c r="Y108" s="331">
        <f t="shared" si="7"/>
        <v>102</v>
      </c>
      <c r="Z108" s="331">
        <f>IF(OR($AN$18=Devices[[#This Row],[Input Type]], 0=Devices[[#This Row],[Input Type]]),Devices[[#This Row],[Row Num]], " ")</f>
        <v>102</v>
      </c>
      <c r="AA108" s="331">
        <f>IF(OR($AN$19=Devices[[#This Row],[Input Type]], 0=Devices[[#This Row],[Input Type]]),Devices[[#This Row],[Row Num]], " ")</f>
        <v>102</v>
      </c>
      <c r="AB108" s="331">
        <f>IF(OR($AN$20=Devices[[#This Row],[Input Type]], 0=Devices[[#This Row],[Input Type]]),Devices[[#This Row],[Row Num]], " ")</f>
        <v>102</v>
      </c>
      <c r="AC108" s="331">
        <f>IF(0=Devices[[#This Row],[Input Type]], Devices[[#This Row],[Row Num]], " ")</f>
        <v>102</v>
      </c>
      <c r="AD108" s="331" t="str">
        <f>IFERROR(SMALL(Devices[Row Sel D], Devices[[#This Row],[Row Num]]), " ")</f>
        <v xml:space="preserve"> </v>
      </c>
      <c r="AE108" s="331" t="str">
        <f>IFERROR(SMALL(Devices[Row Sel IntRdiv], Devices[[#This Row],[Row Num]]), " ")</f>
        <v xml:space="preserve"> </v>
      </c>
      <c r="AF108" s="331" t="str">
        <f>IFERROR(SMALL(Devices[Row Sel SE], Devices[[#This Row],[Row Num]]), " ")</f>
        <v xml:space="preserve"> </v>
      </c>
      <c r="AG108" s="331" t="str">
        <f>IFERROR(SMALL(Devices[Row Sel N], Devices[[#This Row],[Row Num]]), " ")</f>
        <v xml:space="preserve"> </v>
      </c>
      <c r="AH108" s="331" t="str">
        <f>IFERROR(INDEX(Devices[Part], Devices[[#This Row],[Sel D]], 1), "")</f>
        <v/>
      </c>
      <c r="AI108" s="331" t="str">
        <f>IFERROR(INDEX(Devices[Part], Devices[[#This Row],[Sel IntRdiv]], 1), "")</f>
        <v/>
      </c>
      <c r="AJ108" s="331" t="str">
        <f>IFERROR(INDEX(Devices[Part], Devices[[#This Row],[Sel SE]], 1), "")</f>
        <v/>
      </c>
      <c r="AK108" s="331" t="str">
        <f>IFERROR(INDEX(Devices[Part], Devices[[#This Row],[Sel N]], 1), "")</f>
        <v/>
      </c>
      <c r="AM108" s="246"/>
    </row>
    <row r="109" spans="1:39" ht="15" customHeight="1">
      <c r="A109" s="261"/>
      <c r="B109" s="248"/>
      <c r="C109" s="354"/>
      <c r="D109" s="325"/>
      <c r="E109" s="325"/>
      <c r="F109" s="326"/>
      <c r="G109" s="326"/>
      <c r="H109" s="327"/>
      <c r="I109" s="327"/>
      <c r="J109" s="328"/>
      <c r="K109" s="328"/>
      <c r="L109" s="325"/>
      <c r="M109" s="325"/>
      <c r="N109" s="326"/>
      <c r="O109" s="326"/>
      <c r="P109" s="329"/>
      <c r="Q109" s="330"/>
      <c r="R109" s="332"/>
      <c r="S109" s="332"/>
      <c r="T109" s="322"/>
      <c r="U109" s="322"/>
      <c r="V109" s="323"/>
      <c r="W109" s="323"/>
      <c r="X109" s="324"/>
      <c r="Y109" s="331">
        <f t="shared" si="7"/>
        <v>103</v>
      </c>
      <c r="Z109" s="331">
        <f>IF(OR($AN$18=Devices[[#This Row],[Input Type]], 0=Devices[[#This Row],[Input Type]]),Devices[[#This Row],[Row Num]], " ")</f>
        <v>103</v>
      </c>
      <c r="AA109" s="331">
        <f>IF(OR($AN$19=Devices[[#This Row],[Input Type]], 0=Devices[[#This Row],[Input Type]]),Devices[[#This Row],[Row Num]], " ")</f>
        <v>103</v>
      </c>
      <c r="AB109" s="331">
        <f>IF(OR($AN$20=Devices[[#This Row],[Input Type]], 0=Devices[[#This Row],[Input Type]]),Devices[[#This Row],[Row Num]], " ")</f>
        <v>103</v>
      </c>
      <c r="AC109" s="331">
        <f>IF(0=Devices[[#This Row],[Input Type]], Devices[[#This Row],[Row Num]], " ")</f>
        <v>103</v>
      </c>
      <c r="AD109" s="331" t="str">
        <f>IFERROR(SMALL(Devices[Row Sel D], Devices[[#This Row],[Row Num]]), " ")</f>
        <v xml:space="preserve"> </v>
      </c>
      <c r="AE109" s="331" t="str">
        <f>IFERROR(SMALL(Devices[Row Sel IntRdiv], Devices[[#This Row],[Row Num]]), " ")</f>
        <v xml:space="preserve"> </v>
      </c>
      <c r="AF109" s="331" t="str">
        <f>IFERROR(SMALL(Devices[Row Sel SE], Devices[[#This Row],[Row Num]]), " ")</f>
        <v xml:space="preserve"> </v>
      </c>
      <c r="AG109" s="331" t="str">
        <f>IFERROR(SMALL(Devices[Row Sel N], Devices[[#This Row],[Row Num]]), " ")</f>
        <v xml:space="preserve"> </v>
      </c>
      <c r="AH109" s="331" t="str">
        <f>IFERROR(INDEX(Devices[Part], Devices[[#This Row],[Sel D]], 1), "")</f>
        <v/>
      </c>
      <c r="AI109" s="331" t="str">
        <f>IFERROR(INDEX(Devices[Part], Devices[[#This Row],[Sel IntRdiv]], 1), "")</f>
        <v/>
      </c>
      <c r="AJ109" s="331" t="str">
        <f>IFERROR(INDEX(Devices[Part], Devices[[#This Row],[Sel SE]], 1), "")</f>
        <v/>
      </c>
      <c r="AK109" s="331" t="str">
        <f>IFERROR(INDEX(Devices[Part], Devices[[#This Row],[Sel N]], 1), "")</f>
        <v/>
      </c>
      <c r="AM109" s="246"/>
    </row>
    <row r="110" spans="1:39" ht="15" customHeight="1">
      <c r="A110" s="261"/>
      <c r="B110" s="248"/>
      <c r="C110" s="354"/>
      <c r="D110" s="325"/>
      <c r="E110" s="325"/>
      <c r="F110" s="326"/>
      <c r="G110" s="326"/>
      <c r="H110" s="327"/>
      <c r="I110" s="327"/>
      <c r="J110" s="328"/>
      <c r="K110" s="328"/>
      <c r="L110" s="325"/>
      <c r="M110" s="325"/>
      <c r="N110" s="326"/>
      <c r="O110" s="326"/>
      <c r="P110" s="329"/>
      <c r="Q110" s="330"/>
      <c r="R110" s="332"/>
      <c r="S110" s="332"/>
      <c r="T110" s="322"/>
      <c r="U110" s="322"/>
      <c r="V110" s="323"/>
      <c r="W110" s="323"/>
      <c r="X110" s="324"/>
      <c r="Y110" s="331">
        <f t="shared" si="7"/>
        <v>104</v>
      </c>
      <c r="Z110" s="331">
        <f>IF(OR($AN$18=Devices[[#This Row],[Input Type]], 0=Devices[[#This Row],[Input Type]]),Devices[[#This Row],[Row Num]], " ")</f>
        <v>104</v>
      </c>
      <c r="AA110" s="331">
        <f>IF(OR($AN$19=Devices[[#This Row],[Input Type]], 0=Devices[[#This Row],[Input Type]]),Devices[[#This Row],[Row Num]], " ")</f>
        <v>104</v>
      </c>
      <c r="AB110" s="331">
        <f>IF(OR($AN$20=Devices[[#This Row],[Input Type]], 0=Devices[[#This Row],[Input Type]]),Devices[[#This Row],[Row Num]], " ")</f>
        <v>104</v>
      </c>
      <c r="AC110" s="331">
        <f>IF(0=Devices[[#This Row],[Input Type]], Devices[[#This Row],[Row Num]], " ")</f>
        <v>104</v>
      </c>
      <c r="AD110" s="331" t="str">
        <f>IFERROR(SMALL(Devices[Row Sel D], Devices[[#This Row],[Row Num]]), " ")</f>
        <v xml:space="preserve"> </v>
      </c>
      <c r="AE110" s="331" t="str">
        <f>IFERROR(SMALL(Devices[Row Sel IntRdiv], Devices[[#This Row],[Row Num]]), " ")</f>
        <v xml:space="preserve"> </v>
      </c>
      <c r="AF110" s="331" t="str">
        <f>IFERROR(SMALL(Devices[Row Sel SE], Devices[[#This Row],[Row Num]]), " ")</f>
        <v xml:space="preserve"> </v>
      </c>
      <c r="AG110" s="331" t="str">
        <f>IFERROR(SMALL(Devices[Row Sel N], Devices[[#This Row],[Row Num]]), " ")</f>
        <v xml:space="preserve"> </v>
      </c>
      <c r="AH110" s="331" t="str">
        <f>IFERROR(INDEX(Devices[Part], Devices[[#This Row],[Sel D]], 1), "")</f>
        <v/>
      </c>
      <c r="AI110" s="331" t="str">
        <f>IFERROR(INDEX(Devices[Part], Devices[[#This Row],[Sel IntRdiv]], 1), "")</f>
        <v/>
      </c>
      <c r="AJ110" s="331" t="str">
        <f>IFERROR(INDEX(Devices[Part], Devices[[#This Row],[Sel SE]], 1), "")</f>
        <v/>
      </c>
      <c r="AK110" s="331" t="str">
        <f>IFERROR(INDEX(Devices[Part], Devices[[#This Row],[Sel N]], 1), "")</f>
        <v/>
      </c>
      <c r="AM110" s="246"/>
    </row>
    <row r="111" spans="1:39" ht="15" customHeight="1">
      <c r="A111" s="261"/>
      <c r="B111" s="248"/>
      <c r="C111" s="354"/>
      <c r="D111" s="325"/>
      <c r="E111" s="325"/>
      <c r="F111" s="326"/>
      <c r="G111" s="326"/>
      <c r="H111" s="327"/>
      <c r="I111" s="327"/>
      <c r="J111" s="328"/>
      <c r="K111" s="328"/>
      <c r="L111" s="325"/>
      <c r="M111" s="325"/>
      <c r="N111" s="326"/>
      <c r="O111" s="326"/>
      <c r="P111" s="329"/>
      <c r="Q111" s="330"/>
      <c r="R111" s="332"/>
      <c r="S111" s="332"/>
      <c r="T111" s="322"/>
      <c r="U111" s="322"/>
      <c r="V111" s="323"/>
      <c r="W111" s="323"/>
      <c r="X111" s="324"/>
      <c r="Y111" s="331">
        <f t="shared" si="7"/>
        <v>105</v>
      </c>
      <c r="Z111" s="331">
        <f>IF(OR($AN$18=Devices[[#This Row],[Input Type]], 0=Devices[[#This Row],[Input Type]]),Devices[[#This Row],[Row Num]], " ")</f>
        <v>105</v>
      </c>
      <c r="AA111" s="331">
        <f>IF(OR($AN$19=Devices[[#This Row],[Input Type]], 0=Devices[[#This Row],[Input Type]]),Devices[[#This Row],[Row Num]], " ")</f>
        <v>105</v>
      </c>
      <c r="AB111" s="331">
        <f>IF(OR($AN$20=Devices[[#This Row],[Input Type]], 0=Devices[[#This Row],[Input Type]]),Devices[[#This Row],[Row Num]], " ")</f>
        <v>105</v>
      </c>
      <c r="AC111" s="331">
        <f>IF(0=Devices[[#This Row],[Input Type]], Devices[[#This Row],[Row Num]], " ")</f>
        <v>105</v>
      </c>
      <c r="AD111" s="331" t="str">
        <f>IFERROR(SMALL(Devices[Row Sel D], Devices[[#This Row],[Row Num]]), " ")</f>
        <v xml:space="preserve"> </v>
      </c>
      <c r="AE111" s="331" t="str">
        <f>IFERROR(SMALL(Devices[Row Sel IntRdiv], Devices[[#This Row],[Row Num]]), " ")</f>
        <v xml:space="preserve"> </v>
      </c>
      <c r="AF111" s="331" t="str">
        <f>IFERROR(SMALL(Devices[Row Sel SE], Devices[[#This Row],[Row Num]]), " ")</f>
        <v xml:space="preserve"> </v>
      </c>
      <c r="AG111" s="331" t="str">
        <f>IFERROR(SMALL(Devices[Row Sel N], Devices[[#This Row],[Row Num]]), " ")</f>
        <v xml:space="preserve"> </v>
      </c>
      <c r="AH111" s="331" t="str">
        <f>IFERROR(INDEX(Devices[Part], Devices[[#This Row],[Sel D]], 1), "")</f>
        <v/>
      </c>
      <c r="AI111" s="331" t="str">
        <f>IFERROR(INDEX(Devices[Part], Devices[[#This Row],[Sel IntRdiv]], 1), "")</f>
        <v/>
      </c>
      <c r="AJ111" s="331" t="str">
        <f>IFERROR(INDEX(Devices[Part], Devices[[#This Row],[Sel SE]], 1), "")</f>
        <v/>
      </c>
      <c r="AK111" s="331" t="str">
        <f>IFERROR(INDEX(Devices[Part], Devices[[#This Row],[Sel N]], 1), "")</f>
        <v/>
      </c>
      <c r="AM111" s="246"/>
    </row>
    <row r="112" spans="1:39" ht="15" customHeight="1">
      <c r="A112" s="261"/>
      <c r="B112" s="248"/>
      <c r="C112" s="354"/>
      <c r="D112" s="325"/>
      <c r="E112" s="325"/>
      <c r="F112" s="326"/>
      <c r="G112" s="326"/>
      <c r="H112" s="327"/>
      <c r="I112" s="327"/>
      <c r="J112" s="328"/>
      <c r="K112" s="328"/>
      <c r="L112" s="325"/>
      <c r="M112" s="325"/>
      <c r="N112" s="326"/>
      <c r="O112" s="326"/>
      <c r="P112" s="329"/>
      <c r="Q112" s="330"/>
      <c r="R112" s="332"/>
      <c r="S112" s="332"/>
      <c r="T112" s="322"/>
      <c r="U112" s="255"/>
      <c r="V112" s="255"/>
      <c r="W112" s="323"/>
      <c r="X112" s="324"/>
      <c r="Y112" s="331">
        <f t="shared" si="7"/>
        <v>106</v>
      </c>
      <c r="Z112" s="331">
        <f>IF(OR($AN$18=Devices[[#This Row],[Input Type]], 0=Devices[[#This Row],[Input Type]]),Devices[[#This Row],[Row Num]], " ")</f>
        <v>106</v>
      </c>
      <c r="AA112" s="331">
        <f>IF(OR($AN$19=Devices[[#This Row],[Input Type]], 0=Devices[[#This Row],[Input Type]]),Devices[[#This Row],[Row Num]], " ")</f>
        <v>106</v>
      </c>
      <c r="AB112" s="331">
        <f>IF(OR($AN$20=Devices[[#This Row],[Input Type]], 0=Devices[[#This Row],[Input Type]]),Devices[[#This Row],[Row Num]], " ")</f>
        <v>106</v>
      </c>
      <c r="AC112" s="331">
        <f>IF(0=Devices[[#This Row],[Input Type]], Devices[[#This Row],[Row Num]], " ")</f>
        <v>106</v>
      </c>
      <c r="AD112" s="331" t="str">
        <f>IFERROR(SMALL(Devices[Row Sel D], Devices[[#This Row],[Row Num]]), " ")</f>
        <v xml:space="preserve"> </v>
      </c>
      <c r="AE112" s="331" t="str">
        <f>IFERROR(SMALL(Devices[Row Sel IntRdiv], Devices[[#This Row],[Row Num]]), " ")</f>
        <v xml:space="preserve"> </v>
      </c>
      <c r="AF112" s="331" t="str">
        <f>IFERROR(SMALL(Devices[Row Sel SE], Devices[[#This Row],[Row Num]]), " ")</f>
        <v xml:space="preserve"> </v>
      </c>
      <c r="AG112" s="331" t="str">
        <f>IFERROR(SMALL(Devices[Row Sel N], Devices[[#This Row],[Row Num]]), " ")</f>
        <v xml:space="preserve"> </v>
      </c>
      <c r="AH112" s="331" t="str">
        <f>IFERROR(INDEX(Devices[Part], Devices[[#This Row],[Sel D]], 1), "")</f>
        <v/>
      </c>
      <c r="AI112" s="331" t="str">
        <f>IFERROR(INDEX(Devices[Part], Devices[[#This Row],[Sel IntRdiv]], 1), "")</f>
        <v/>
      </c>
      <c r="AJ112" s="331" t="str">
        <f>IFERROR(INDEX(Devices[Part], Devices[[#This Row],[Sel SE]], 1), "")</f>
        <v/>
      </c>
      <c r="AK112" s="331" t="str">
        <f>IFERROR(INDEX(Devices[Part], Devices[[#This Row],[Sel N]], 1), "")</f>
        <v/>
      </c>
      <c r="AM112" s="246"/>
    </row>
    <row r="113" spans="1:39" ht="15" customHeight="1">
      <c r="A113" s="261"/>
      <c r="B113" s="248"/>
      <c r="C113" s="354"/>
      <c r="D113" s="325"/>
      <c r="E113" s="325"/>
      <c r="F113" s="326"/>
      <c r="G113" s="326"/>
      <c r="H113" s="327"/>
      <c r="I113" s="327"/>
      <c r="J113" s="328"/>
      <c r="K113" s="328"/>
      <c r="L113" s="325"/>
      <c r="M113" s="325"/>
      <c r="N113" s="326"/>
      <c r="O113" s="326"/>
      <c r="P113" s="329"/>
      <c r="Q113" s="330"/>
      <c r="R113" s="332"/>
      <c r="S113" s="332"/>
      <c r="T113" s="322"/>
      <c r="U113" s="255"/>
      <c r="V113" s="255"/>
      <c r="W113" s="323"/>
      <c r="X113" s="324"/>
      <c r="Y113" s="331">
        <f t="shared" si="7"/>
        <v>107</v>
      </c>
      <c r="Z113" s="331">
        <f>IF(OR($AN$18=Devices[[#This Row],[Input Type]], 0=Devices[[#This Row],[Input Type]]),Devices[[#This Row],[Row Num]], " ")</f>
        <v>107</v>
      </c>
      <c r="AA113" s="331">
        <f>IF(OR($AN$19=Devices[[#This Row],[Input Type]], 0=Devices[[#This Row],[Input Type]]),Devices[[#This Row],[Row Num]], " ")</f>
        <v>107</v>
      </c>
      <c r="AB113" s="331">
        <f>IF(OR($AN$20=Devices[[#This Row],[Input Type]], 0=Devices[[#This Row],[Input Type]]),Devices[[#This Row],[Row Num]], " ")</f>
        <v>107</v>
      </c>
      <c r="AC113" s="331">
        <f>IF(0=Devices[[#This Row],[Input Type]], Devices[[#This Row],[Row Num]], " ")</f>
        <v>107</v>
      </c>
      <c r="AD113" s="331" t="str">
        <f>IFERROR(SMALL(Devices[Row Sel D], Devices[[#This Row],[Row Num]]), " ")</f>
        <v xml:space="preserve"> </v>
      </c>
      <c r="AE113" s="331" t="str">
        <f>IFERROR(SMALL(Devices[Row Sel IntRdiv], Devices[[#This Row],[Row Num]]), " ")</f>
        <v xml:space="preserve"> </v>
      </c>
      <c r="AF113" s="331" t="str">
        <f>IFERROR(SMALL(Devices[Row Sel SE], Devices[[#This Row],[Row Num]]), " ")</f>
        <v xml:space="preserve"> </v>
      </c>
      <c r="AG113" s="331" t="str">
        <f>IFERROR(SMALL(Devices[Row Sel N], Devices[[#This Row],[Row Num]]), " ")</f>
        <v xml:space="preserve"> </v>
      </c>
      <c r="AH113" s="331" t="str">
        <f>IFERROR(INDEX(Devices[Part], Devices[[#This Row],[Sel D]], 1), "")</f>
        <v/>
      </c>
      <c r="AI113" s="331" t="str">
        <f>IFERROR(INDEX(Devices[Part], Devices[[#This Row],[Sel IntRdiv]], 1), "")</f>
        <v/>
      </c>
      <c r="AJ113" s="331" t="str">
        <f>IFERROR(INDEX(Devices[Part], Devices[[#This Row],[Sel SE]], 1), "")</f>
        <v/>
      </c>
      <c r="AK113" s="331" t="str">
        <f>IFERROR(INDEX(Devices[Part], Devices[[#This Row],[Sel N]], 1), "")</f>
        <v/>
      </c>
      <c r="AM113" s="246"/>
    </row>
    <row r="114" spans="1:39" ht="15" customHeight="1">
      <c r="A114" s="261"/>
      <c r="B114" s="248"/>
      <c r="C114" s="354"/>
      <c r="D114" s="325"/>
      <c r="E114" s="325"/>
      <c r="F114" s="326"/>
      <c r="G114" s="326"/>
      <c r="H114" s="327"/>
      <c r="I114" s="327"/>
      <c r="J114" s="328"/>
      <c r="K114" s="328"/>
      <c r="L114" s="325"/>
      <c r="M114" s="325"/>
      <c r="N114" s="326"/>
      <c r="O114" s="326"/>
      <c r="P114" s="329"/>
      <c r="Q114" s="330"/>
      <c r="R114" s="330"/>
      <c r="S114" s="330"/>
      <c r="T114" s="322"/>
      <c r="U114" s="322"/>
      <c r="V114" s="323"/>
      <c r="W114" s="323"/>
      <c r="X114" s="324"/>
      <c r="Y114" s="331">
        <f>ROW()-6</f>
        <v>108</v>
      </c>
      <c r="Z114" s="331">
        <f>IF(OR($AN$18=Devices[[#This Row],[Input Type]], 0=Devices[[#This Row],[Input Type]]),Devices[[#This Row],[Row Num]], " ")</f>
        <v>108</v>
      </c>
      <c r="AA114" s="331">
        <f>IF(OR($AN$19=Devices[[#This Row],[Input Type]], 0=Devices[[#This Row],[Input Type]]),Devices[[#This Row],[Row Num]], " ")</f>
        <v>108</v>
      </c>
      <c r="AB114" s="331">
        <f>IF(OR($AN$20=Devices[[#This Row],[Input Type]], 0=Devices[[#This Row],[Input Type]]),Devices[[#This Row],[Row Num]], " ")</f>
        <v>108</v>
      </c>
      <c r="AC114" s="331">
        <f>IF(0=Devices[[#This Row],[Input Type]], Devices[[#This Row],[Row Num]], " ")</f>
        <v>108</v>
      </c>
      <c r="AD114" s="331" t="str">
        <f>IFERROR(SMALL(Devices[Row Sel D], Devices[[#This Row],[Row Num]]), " ")</f>
        <v xml:space="preserve"> </v>
      </c>
      <c r="AE114" s="331" t="str">
        <f>IFERROR(SMALL(Devices[Row Sel IntRdiv], Devices[[#This Row],[Row Num]]), " ")</f>
        <v xml:space="preserve"> </v>
      </c>
      <c r="AF114" s="331" t="str">
        <f>IFERROR(SMALL(Devices[Row Sel SE], Devices[[#This Row],[Row Num]]), " ")</f>
        <v xml:space="preserve"> </v>
      </c>
      <c r="AG114" s="331" t="str">
        <f>IFERROR(SMALL(Devices[Row Sel N], Devices[[#This Row],[Row Num]]), " ")</f>
        <v xml:space="preserve"> </v>
      </c>
      <c r="AH114" s="331" t="str">
        <f>IFERROR(INDEX(Devices[Part], Devices[[#This Row],[Sel D]], 1), "")</f>
        <v/>
      </c>
      <c r="AI114" s="331" t="str">
        <f>IFERROR(INDEX(Devices[Part], Devices[[#This Row],[Sel IntRdiv]], 1), "")</f>
        <v/>
      </c>
      <c r="AJ114" s="331" t="str">
        <f>IFERROR(INDEX(Devices[Part], Devices[[#This Row],[Sel SE]], 1), "")</f>
        <v/>
      </c>
      <c r="AK114" s="331" t="str">
        <f>IFERROR(INDEX(Devices[Part], Devices[[#This Row],[Sel N]], 1), "")</f>
        <v/>
      </c>
      <c r="AM114" s="246"/>
    </row>
    <row r="115" spans="1:39" ht="15" customHeight="1">
      <c r="A115" s="261"/>
      <c r="B115" s="248"/>
      <c r="C115" s="354"/>
      <c r="D115" s="325"/>
      <c r="E115" s="325"/>
      <c r="F115" s="326"/>
      <c r="G115" s="326"/>
      <c r="H115" s="327"/>
      <c r="I115" s="327"/>
      <c r="J115" s="328"/>
      <c r="K115" s="328"/>
      <c r="L115" s="325"/>
      <c r="M115" s="325"/>
      <c r="N115" s="326"/>
      <c r="O115" s="326"/>
      <c r="P115" s="329"/>
      <c r="Q115" s="330"/>
      <c r="R115" s="330"/>
      <c r="S115" s="330"/>
      <c r="T115" s="322"/>
      <c r="U115" s="322"/>
      <c r="V115" s="323"/>
      <c r="W115" s="323"/>
      <c r="X115" s="324"/>
      <c r="Y115" s="331">
        <f>ROW()-6</f>
        <v>109</v>
      </c>
      <c r="Z115" s="331">
        <f>IF(OR($AN$18=Devices[[#This Row],[Input Type]], 0=Devices[[#This Row],[Input Type]]),Devices[[#This Row],[Row Num]], " ")</f>
        <v>109</v>
      </c>
      <c r="AA115" s="331">
        <f>IF(OR($AN$19=Devices[[#This Row],[Input Type]], 0=Devices[[#This Row],[Input Type]]),Devices[[#This Row],[Row Num]], " ")</f>
        <v>109</v>
      </c>
      <c r="AB115" s="331">
        <f>IF(OR($AN$20=Devices[[#This Row],[Input Type]], 0=Devices[[#This Row],[Input Type]]),Devices[[#This Row],[Row Num]], " ")</f>
        <v>109</v>
      </c>
      <c r="AC115" s="331">
        <f>IF(0=Devices[[#This Row],[Input Type]], Devices[[#This Row],[Row Num]], " ")</f>
        <v>109</v>
      </c>
      <c r="AD115" s="331" t="str">
        <f>IFERROR(SMALL(Devices[Row Sel D], Devices[[#This Row],[Row Num]]), " ")</f>
        <v xml:space="preserve"> </v>
      </c>
      <c r="AE115" s="331" t="str">
        <f>IFERROR(SMALL(Devices[Row Sel IntRdiv], Devices[[#This Row],[Row Num]]), " ")</f>
        <v xml:space="preserve"> </v>
      </c>
      <c r="AF115" s="331" t="str">
        <f>IFERROR(SMALL(Devices[Row Sel SE], Devices[[#This Row],[Row Num]]), " ")</f>
        <v xml:space="preserve"> </v>
      </c>
      <c r="AG115" s="331" t="str">
        <f>IFERROR(SMALL(Devices[Row Sel N], Devices[[#This Row],[Row Num]]), " ")</f>
        <v xml:space="preserve"> </v>
      </c>
      <c r="AH115" s="331" t="str">
        <f>IFERROR(INDEX(Devices[Part], Devices[[#This Row],[Sel D]], 1), "")</f>
        <v/>
      </c>
      <c r="AI115" s="331" t="str">
        <f>IFERROR(INDEX(Devices[Part], Devices[[#This Row],[Sel IntRdiv]], 1), "")</f>
        <v/>
      </c>
      <c r="AJ115" s="331" t="str">
        <f>IFERROR(INDEX(Devices[Part], Devices[[#This Row],[Sel SE]], 1), "")</f>
        <v/>
      </c>
      <c r="AK115" s="331" t="str">
        <f>IFERROR(INDEX(Devices[Part], Devices[[#This Row],[Sel N]], 1), "")</f>
        <v/>
      </c>
      <c r="AM115" s="246"/>
    </row>
    <row r="116" spans="1:39" ht="15" customHeight="1">
      <c r="A116" s="261"/>
      <c r="B116" s="248"/>
      <c r="C116" s="354"/>
      <c r="D116" s="325"/>
      <c r="E116" s="325"/>
      <c r="F116" s="326"/>
      <c r="G116" s="326"/>
      <c r="H116" s="327"/>
      <c r="I116" s="327"/>
      <c r="J116" s="328"/>
      <c r="K116" s="328"/>
      <c r="L116" s="325"/>
      <c r="M116" s="325"/>
      <c r="N116" s="326"/>
      <c r="O116" s="326"/>
      <c r="P116" s="329"/>
      <c r="Q116" s="330"/>
      <c r="R116" s="330"/>
      <c r="S116" s="330"/>
      <c r="T116" s="322"/>
      <c r="U116" s="322"/>
      <c r="V116" s="323"/>
      <c r="W116" s="323"/>
      <c r="X116" s="324"/>
      <c r="Y116" s="331">
        <f>ROW()-6</f>
        <v>110</v>
      </c>
      <c r="Z116" s="331">
        <f>IF(OR($AN$18=Devices[[#This Row],[Input Type]], 0=Devices[[#This Row],[Input Type]]),Devices[[#This Row],[Row Num]], " ")</f>
        <v>110</v>
      </c>
      <c r="AA116" s="331">
        <f>IF(OR($AN$19=Devices[[#This Row],[Input Type]], 0=Devices[[#This Row],[Input Type]]),Devices[[#This Row],[Row Num]], " ")</f>
        <v>110</v>
      </c>
      <c r="AB116" s="331">
        <f>IF(OR($AN$20=Devices[[#This Row],[Input Type]], 0=Devices[[#This Row],[Input Type]]),Devices[[#This Row],[Row Num]], " ")</f>
        <v>110</v>
      </c>
      <c r="AC116" s="331">
        <f>IF(0=Devices[[#This Row],[Input Type]], Devices[[#This Row],[Row Num]], " ")</f>
        <v>110</v>
      </c>
      <c r="AD116" s="331" t="str">
        <f>IFERROR(SMALL(Devices[Row Sel D], Devices[[#This Row],[Row Num]]), " ")</f>
        <v xml:space="preserve"> </v>
      </c>
      <c r="AE116" s="331" t="str">
        <f>IFERROR(SMALL(Devices[Row Sel IntRdiv], Devices[[#This Row],[Row Num]]), " ")</f>
        <v xml:space="preserve"> </v>
      </c>
      <c r="AF116" s="331" t="str">
        <f>IFERROR(SMALL(Devices[Row Sel SE], Devices[[#This Row],[Row Num]]), " ")</f>
        <v xml:space="preserve"> </v>
      </c>
      <c r="AG116" s="331" t="str">
        <f>IFERROR(SMALL(Devices[Row Sel N], Devices[[#This Row],[Row Num]]), " ")</f>
        <v xml:space="preserve"> </v>
      </c>
      <c r="AH116" s="331" t="str">
        <f>IFERROR(INDEX(Devices[Part], Devices[[#This Row],[Sel D]], 1), "")</f>
        <v/>
      </c>
      <c r="AI116" s="331" t="str">
        <f>IFERROR(INDEX(Devices[Part], Devices[[#This Row],[Sel IntRdiv]], 1), "")</f>
        <v/>
      </c>
      <c r="AJ116" s="331" t="str">
        <f>IFERROR(INDEX(Devices[Part], Devices[[#This Row],[Sel SE]], 1), "")</f>
        <v/>
      </c>
      <c r="AK116" s="331" t="str">
        <f>IFERROR(INDEX(Devices[Part], Devices[[#This Row],[Sel N]], 1), "")</f>
        <v/>
      </c>
      <c r="AM116" s="246"/>
    </row>
    <row r="117" spans="1:39" ht="15" customHeight="1">
      <c r="A117" s="261"/>
      <c r="B117" s="248"/>
      <c r="C117" s="354"/>
      <c r="D117" s="325"/>
      <c r="E117" s="325"/>
      <c r="F117" s="326"/>
      <c r="G117" s="326"/>
      <c r="H117" s="327"/>
      <c r="I117" s="327"/>
      <c r="J117" s="328"/>
      <c r="K117" s="328"/>
      <c r="L117" s="325"/>
      <c r="M117" s="325"/>
      <c r="N117" s="326"/>
      <c r="O117" s="326"/>
      <c r="P117" s="329"/>
      <c r="Q117" s="330"/>
      <c r="R117" s="330"/>
      <c r="S117" s="330"/>
      <c r="T117" s="322"/>
      <c r="U117" s="322"/>
      <c r="V117" s="323"/>
      <c r="W117" s="323"/>
      <c r="X117" s="324"/>
      <c r="Y117" s="331">
        <f>ROW()-6</f>
        <v>111</v>
      </c>
      <c r="Z117" s="331">
        <f>IF(OR($AN$18=Devices[[#This Row],[Input Type]], 0=Devices[[#This Row],[Input Type]]),Devices[[#This Row],[Row Num]], " ")</f>
        <v>111</v>
      </c>
      <c r="AA117" s="331">
        <f>IF(OR($AN$19=Devices[[#This Row],[Input Type]], 0=Devices[[#This Row],[Input Type]]),Devices[[#This Row],[Row Num]], " ")</f>
        <v>111</v>
      </c>
      <c r="AB117" s="331">
        <f>IF(OR($AN$20=Devices[[#This Row],[Input Type]], 0=Devices[[#This Row],[Input Type]]),Devices[[#This Row],[Row Num]], " ")</f>
        <v>111</v>
      </c>
      <c r="AC117" s="331">
        <f>IF(0=Devices[[#This Row],[Input Type]], Devices[[#This Row],[Row Num]], " ")</f>
        <v>111</v>
      </c>
      <c r="AD117" s="331" t="str">
        <f>IFERROR(SMALL(Devices[Row Sel D], Devices[[#This Row],[Row Num]]), " ")</f>
        <v xml:space="preserve"> </v>
      </c>
      <c r="AE117" s="331" t="str">
        <f>IFERROR(SMALL(Devices[Row Sel IntRdiv], Devices[[#This Row],[Row Num]]), " ")</f>
        <v xml:space="preserve"> </v>
      </c>
      <c r="AF117" s="331" t="str">
        <f>IFERROR(SMALL(Devices[Row Sel SE], Devices[[#This Row],[Row Num]]), " ")</f>
        <v xml:space="preserve"> </v>
      </c>
      <c r="AG117" s="331" t="str">
        <f>IFERROR(SMALL(Devices[Row Sel N], Devices[[#This Row],[Row Num]]), " ")</f>
        <v xml:space="preserve"> </v>
      </c>
      <c r="AH117" s="331" t="str">
        <f>IFERROR(INDEX(Devices[Part], Devices[[#This Row],[Sel D]], 1), "")</f>
        <v/>
      </c>
      <c r="AI117" s="331" t="str">
        <f>IFERROR(INDEX(Devices[Part], Devices[[#This Row],[Sel IntRdiv]], 1), "")</f>
        <v/>
      </c>
      <c r="AJ117" s="331" t="str">
        <f>IFERROR(INDEX(Devices[Part], Devices[[#This Row],[Sel SE]], 1), "")</f>
        <v/>
      </c>
      <c r="AK117" s="331" t="str">
        <f>IFERROR(INDEX(Devices[Part], Devices[[#This Row],[Sel N]], 1), "")</f>
        <v/>
      </c>
    </row>
    <row r="118" spans="1:39" ht="15" customHeight="1">
      <c r="A118" s="261"/>
      <c r="B118" s="248"/>
      <c r="C118" s="354"/>
      <c r="D118" s="333"/>
      <c r="E118" s="333"/>
      <c r="F118" s="334"/>
      <c r="G118" s="334"/>
      <c r="H118" s="335"/>
      <c r="I118" s="335"/>
      <c r="J118" s="336"/>
      <c r="K118" s="336"/>
      <c r="L118" s="333"/>
      <c r="M118" s="333"/>
      <c r="N118" s="334"/>
      <c r="O118" s="334"/>
      <c r="P118" s="337"/>
      <c r="Q118" s="338"/>
      <c r="R118" s="338"/>
      <c r="S118" s="338"/>
      <c r="T118" s="339"/>
      <c r="U118" s="339"/>
      <c r="V118" s="340"/>
      <c r="W118" s="340"/>
      <c r="X118" s="341"/>
      <c r="Y118" s="331">
        <f t="shared" si="7"/>
        <v>112</v>
      </c>
      <c r="Z118" s="331">
        <f>IF(OR($AN$18=Devices[[#This Row],[Input Type]], 0=Devices[[#This Row],[Input Type]]),Devices[[#This Row],[Row Num]], " ")</f>
        <v>112</v>
      </c>
      <c r="AA118" s="331">
        <f>IF(OR($AN$19=Devices[[#This Row],[Input Type]], 0=Devices[[#This Row],[Input Type]]),Devices[[#This Row],[Row Num]], " ")</f>
        <v>112</v>
      </c>
      <c r="AB118" s="331">
        <f>IF(OR($AN$20=Devices[[#This Row],[Input Type]], 0=Devices[[#This Row],[Input Type]]),Devices[[#This Row],[Row Num]], " ")</f>
        <v>112</v>
      </c>
      <c r="AC118" s="331">
        <f>IF(0=Devices[[#This Row],[Input Type]], Devices[[#This Row],[Row Num]], " ")</f>
        <v>112</v>
      </c>
      <c r="AD118" s="331" t="str">
        <f>IFERROR(SMALL(Devices[Row Sel D], Devices[[#This Row],[Row Num]]), " ")</f>
        <v xml:space="preserve"> </v>
      </c>
      <c r="AE118" s="331" t="str">
        <f>IFERROR(SMALL(Devices[Row Sel IntRdiv], Devices[[#This Row],[Row Num]]), " ")</f>
        <v xml:space="preserve"> </v>
      </c>
      <c r="AF118" s="331" t="str">
        <f>IFERROR(SMALL(Devices[Row Sel SE], Devices[[#This Row],[Row Num]]), " ")</f>
        <v xml:space="preserve"> </v>
      </c>
      <c r="AG118" s="331" t="str">
        <f>IFERROR(SMALL(Devices[Row Sel N], Devices[[#This Row],[Row Num]]), " ")</f>
        <v xml:space="preserve"> </v>
      </c>
      <c r="AH118" s="331" t="str">
        <f>IFERROR(INDEX(Devices[Part], Devices[[#This Row],[Sel D]], 1), "")</f>
        <v/>
      </c>
      <c r="AI118" s="331" t="str">
        <f>IFERROR(INDEX(Devices[Part], Devices[[#This Row],[Sel IntRdiv]], 1), "")</f>
        <v/>
      </c>
      <c r="AJ118" s="331" t="str">
        <f>IFERROR(INDEX(Devices[Part], Devices[[#This Row],[Sel SE]], 1), "")</f>
        <v/>
      </c>
      <c r="AK118" s="331" t="str">
        <f>IFERROR(INDEX(Devices[Part], Devices[[#This Row],[Sel N]], 1), "")</f>
        <v/>
      </c>
    </row>
    <row r="119" spans="1:39" ht="15" customHeight="1">
      <c r="A119" s="261"/>
      <c r="B119" s="248"/>
      <c r="C119" s="354"/>
      <c r="D119" s="333"/>
      <c r="E119" s="333"/>
      <c r="F119" s="334"/>
      <c r="G119" s="334"/>
      <c r="H119" s="335"/>
      <c r="I119" s="335"/>
      <c r="J119" s="336"/>
      <c r="K119" s="336"/>
      <c r="L119" s="333"/>
      <c r="M119" s="333"/>
      <c r="N119" s="334"/>
      <c r="O119" s="334"/>
      <c r="P119" s="337"/>
      <c r="Q119" s="338"/>
      <c r="R119" s="338"/>
      <c r="S119" s="338"/>
      <c r="T119" s="339"/>
      <c r="U119" s="339"/>
      <c r="V119" s="340"/>
      <c r="W119" s="340"/>
      <c r="X119" s="341"/>
      <c r="Y119" s="331">
        <f t="shared" si="7"/>
        <v>113</v>
      </c>
      <c r="Z119" s="331">
        <f>IF(OR($AN$18=Devices[[#This Row],[Input Type]], 0=Devices[[#This Row],[Input Type]]),Devices[[#This Row],[Row Num]], " ")</f>
        <v>113</v>
      </c>
      <c r="AA119" s="331">
        <f>IF(OR($AN$19=Devices[[#This Row],[Input Type]], 0=Devices[[#This Row],[Input Type]]),Devices[[#This Row],[Row Num]], " ")</f>
        <v>113</v>
      </c>
      <c r="AB119" s="331">
        <f>IF(OR($AN$20=Devices[[#This Row],[Input Type]], 0=Devices[[#This Row],[Input Type]]),Devices[[#This Row],[Row Num]], " ")</f>
        <v>113</v>
      </c>
      <c r="AC119" s="331">
        <f>IF(0=Devices[[#This Row],[Input Type]], Devices[[#This Row],[Row Num]], " ")</f>
        <v>113</v>
      </c>
      <c r="AD119" s="331" t="str">
        <f>IFERROR(SMALL(Devices[Row Sel D], Devices[[#This Row],[Row Num]]), " ")</f>
        <v xml:space="preserve"> </v>
      </c>
      <c r="AE119" s="331" t="str">
        <f>IFERROR(SMALL(Devices[Row Sel IntRdiv], Devices[[#This Row],[Row Num]]), " ")</f>
        <v xml:space="preserve"> </v>
      </c>
      <c r="AF119" s="331" t="str">
        <f>IFERROR(SMALL(Devices[Row Sel SE], Devices[[#This Row],[Row Num]]), " ")</f>
        <v xml:space="preserve"> </v>
      </c>
      <c r="AG119" s="331" t="str">
        <f>IFERROR(SMALL(Devices[Row Sel N], Devices[[#This Row],[Row Num]]), " ")</f>
        <v xml:space="preserve"> </v>
      </c>
      <c r="AH119" s="331" t="str">
        <f>IFERROR(INDEX(Devices[Part], Devices[[#This Row],[Sel D]], 1), "")</f>
        <v/>
      </c>
      <c r="AI119" s="331" t="str">
        <f>IFERROR(INDEX(Devices[Part], Devices[[#This Row],[Sel IntRdiv]], 1), "")</f>
        <v/>
      </c>
      <c r="AJ119" s="331" t="str">
        <f>IFERROR(INDEX(Devices[Part], Devices[[#This Row],[Sel SE]], 1), "")</f>
        <v/>
      </c>
      <c r="AK119" s="331" t="str">
        <f>IFERROR(INDEX(Devices[Part], Devices[[#This Row],[Sel N]], 1), "")</f>
        <v/>
      </c>
      <c r="AM119" s="246"/>
    </row>
    <row r="120" spans="1:39" ht="15" customHeight="1">
      <c r="A120" s="261"/>
      <c r="B120" s="248"/>
      <c r="C120" s="354"/>
      <c r="D120" s="333"/>
      <c r="E120" s="333"/>
      <c r="F120" s="334"/>
      <c r="G120" s="334"/>
      <c r="H120" s="335"/>
      <c r="I120" s="335"/>
      <c r="J120" s="336"/>
      <c r="K120" s="336"/>
      <c r="L120" s="333"/>
      <c r="M120" s="333"/>
      <c r="N120" s="334"/>
      <c r="O120" s="334"/>
      <c r="P120" s="337"/>
      <c r="Q120" s="342"/>
      <c r="R120" s="342"/>
      <c r="S120" s="342"/>
      <c r="T120" s="339"/>
      <c r="U120" s="339"/>
      <c r="V120" s="343"/>
      <c r="W120" s="343"/>
      <c r="X120" s="341"/>
      <c r="Y120" s="331">
        <f t="shared" si="7"/>
        <v>114</v>
      </c>
      <c r="Z120" s="331">
        <f>IF(OR($AN$18=Devices[[#This Row],[Input Type]], 0=Devices[[#This Row],[Input Type]]),Devices[[#This Row],[Row Num]], " ")</f>
        <v>114</v>
      </c>
      <c r="AA120" s="331">
        <f>IF(OR($AN$19=Devices[[#This Row],[Input Type]], 0=Devices[[#This Row],[Input Type]]),Devices[[#This Row],[Row Num]], " ")</f>
        <v>114</v>
      </c>
      <c r="AB120" s="331">
        <f>IF(OR($AN$20=Devices[[#This Row],[Input Type]], 0=Devices[[#This Row],[Input Type]]),Devices[[#This Row],[Row Num]], " ")</f>
        <v>114</v>
      </c>
      <c r="AC120" s="331">
        <f>IF(0=Devices[[#This Row],[Input Type]], Devices[[#This Row],[Row Num]], " ")</f>
        <v>114</v>
      </c>
      <c r="AD120" s="331" t="str">
        <f>IFERROR(SMALL(Devices[Row Sel D], Devices[[#This Row],[Row Num]]), " ")</f>
        <v xml:space="preserve"> </v>
      </c>
      <c r="AE120" s="331" t="str">
        <f>IFERROR(SMALL(Devices[Row Sel IntRdiv], Devices[[#This Row],[Row Num]]), " ")</f>
        <v xml:space="preserve"> </v>
      </c>
      <c r="AF120" s="331" t="str">
        <f>IFERROR(SMALL(Devices[Row Sel SE], Devices[[#This Row],[Row Num]]), " ")</f>
        <v xml:space="preserve"> </v>
      </c>
      <c r="AG120" s="331" t="str">
        <f>IFERROR(SMALL(Devices[Row Sel N], Devices[[#This Row],[Row Num]]), " ")</f>
        <v xml:space="preserve"> </v>
      </c>
      <c r="AH120" s="331" t="str">
        <f>IFERROR(INDEX(Devices[Part], Devices[[#This Row],[Sel D]], 1), "")</f>
        <v/>
      </c>
      <c r="AI120" s="331" t="str">
        <f>IFERROR(INDEX(Devices[Part], Devices[[#This Row],[Sel IntRdiv]], 1), "")</f>
        <v/>
      </c>
      <c r="AJ120" s="331" t="str">
        <f>IFERROR(INDEX(Devices[Part], Devices[[#This Row],[Sel SE]], 1), "")</f>
        <v/>
      </c>
      <c r="AK120" s="331" t="str">
        <f>IFERROR(INDEX(Devices[Part], Devices[[#This Row],[Sel N]], 1), "")</f>
        <v/>
      </c>
    </row>
    <row r="121" spans="1:39" ht="15" customHeight="1">
      <c r="A121" s="261"/>
      <c r="B121" s="248"/>
      <c r="C121" s="354"/>
      <c r="D121" s="333"/>
      <c r="E121" s="333"/>
      <c r="F121" s="334"/>
      <c r="G121" s="334"/>
      <c r="H121" s="335"/>
      <c r="I121" s="335"/>
      <c r="J121" s="336"/>
      <c r="K121" s="336"/>
      <c r="L121" s="333"/>
      <c r="M121" s="333"/>
      <c r="N121" s="334"/>
      <c r="O121" s="334"/>
      <c r="P121" s="337"/>
      <c r="Q121" s="342"/>
      <c r="R121" s="342"/>
      <c r="S121" s="342"/>
      <c r="T121" s="339"/>
      <c r="U121" s="339"/>
      <c r="V121" s="343"/>
      <c r="W121" s="343"/>
      <c r="X121" s="341"/>
      <c r="Y121" s="331">
        <f t="shared" si="7"/>
        <v>115</v>
      </c>
      <c r="Z121" s="331">
        <f>IF(OR($AN$18=Devices[[#This Row],[Input Type]], 0=Devices[[#This Row],[Input Type]]),Devices[[#This Row],[Row Num]], " ")</f>
        <v>115</v>
      </c>
      <c r="AA121" s="331">
        <f>IF(OR($AN$19=Devices[[#This Row],[Input Type]], 0=Devices[[#This Row],[Input Type]]),Devices[[#This Row],[Row Num]], " ")</f>
        <v>115</v>
      </c>
      <c r="AB121" s="331">
        <f>IF(OR($AN$20=Devices[[#This Row],[Input Type]], 0=Devices[[#This Row],[Input Type]]),Devices[[#This Row],[Row Num]], " ")</f>
        <v>115</v>
      </c>
      <c r="AC121" s="331">
        <f>IF(0=Devices[[#This Row],[Input Type]], Devices[[#This Row],[Row Num]], " ")</f>
        <v>115</v>
      </c>
      <c r="AD121" s="331" t="str">
        <f>IFERROR(SMALL(Devices[Row Sel D], Devices[[#This Row],[Row Num]]), " ")</f>
        <v xml:space="preserve"> </v>
      </c>
      <c r="AE121" s="331" t="str">
        <f>IFERROR(SMALL(Devices[Row Sel IntRdiv], Devices[[#This Row],[Row Num]]), " ")</f>
        <v xml:space="preserve"> </v>
      </c>
      <c r="AF121" s="331" t="str">
        <f>IFERROR(SMALL(Devices[Row Sel SE], Devices[[#This Row],[Row Num]]), " ")</f>
        <v xml:space="preserve"> </v>
      </c>
      <c r="AG121" s="331" t="str">
        <f>IFERROR(SMALL(Devices[Row Sel N], Devices[[#This Row],[Row Num]]), " ")</f>
        <v xml:space="preserve"> </v>
      </c>
      <c r="AH121" s="331" t="str">
        <f>IFERROR(INDEX(Devices[Part], Devices[[#This Row],[Sel D]], 1), "")</f>
        <v/>
      </c>
      <c r="AI121" s="331" t="str">
        <f>IFERROR(INDEX(Devices[Part], Devices[[#This Row],[Sel IntRdiv]], 1), "")</f>
        <v/>
      </c>
      <c r="AJ121" s="331" t="str">
        <f>IFERROR(INDEX(Devices[Part], Devices[[#This Row],[Sel SE]], 1), "")</f>
        <v/>
      </c>
      <c r="AK121" s="331" t="str">
        <f>IFERROR(INDEX(Devices[Part], Devices[[#This Row],[Sel N]], 1), "")</f>
        <v/>
      </c>
    </row>
    <row r="122" spans="1:39" ht="15" customHeight="1">
      <c r="A122" s="261"/>
      <c r="B122" s="248"/>
      <c r="C122" s="354"/>
      <c r="D122" s="333"/>
      <c r="E122" s="333"/>
      <c r="F122" s="334"/>
      <c r="G122" s="334"/>
      <c r="H122" s="335"/>
      <c r="I122" s="335"/>
      <c r="J122" s="336"/>
      <c r="K122" s="336"/>
      <c r="L122" s="333"/>
      <c r="M122" s="333"/>
      <c r="N122" s="334"/>
      <c r="O122" s="334"/>
      <c r="P122" s="337"/>
      <c r="Q122" s="342"/>
      <c r="R122" s="342"/>
      <c r="S122" s="342"/>
      <c r="T122" s="339"/>
      <c r="U122" s="339"/>
      <c r="V122" s="343"/>
      <c r="W122" s="343"/>
      <c r="X122" s="341"/>
      <c r="Y122" s="331">
        <f t="shared" si="7"/>
        <v>116</v>
      </c>
      <c r="Z122" s="331">
        <f>IF(OR($AN$18=Devices[[#This Row],[Input Type]], 0=Devices[[#This Row],[Input Type]]),Devices[[#This Row],[Row Num]], " ")</f>
        <v>116</v>
      </c>
      <c r="AA122" s="331">
        <f>IF(OR($AN$19=Devices[[#This Row],[Input Type]], 0=Devices[[#This Row],[Input Type]]),Devices[[#This Row],[Row Num]], " ")</f>
        <v>116</v>
      </c>
      <c r="AB122" s="331">
        <f>IF(OR($AN$20=Devices[[#This Row],[Input Type]], 0=Devices[[#This Row],[Input Type]]),Devices[[#This Row],[Row Num]], " ")</f>
        <v>116</v>
      </c>
      <c r="AC122" s="331">
        <f>IF(0=Devices[[#This Row],[Input Type]], Devices[[#This Row],[Row Num]], " ")</f>
        <v>116</v>
      </c>
      <c r="AD122" s="331" t="str">
        <f>IFERROR(SMALL(Devices[Row Sel D], Devices[[#This Row],[Row Num]]), " ")</f>
        <v xml:space="preserve"> </v>
      </c>
      <c r="AE122" s="331" t="str">
        <f>IFERROR(SMALL(Devices[Row Sel IntRdiv], Devices[[#This Row],[Row Num]]), " ")</f>
        <v xml:space="preserve"> </v>
      </c>
      <c r="AF122" s="331" t="str">
        <f>IFERROR(SMALL(Devices[Row Sel SE], Devices[[#This Row],[Row Num]]), " ")</f>
        <v xml:space="preserve"> </v>
      </c>
      <c r="AG122" s="331" t="str">
        <f>IFERROR(SMALL(Devices[Row Sel N], Devices[[#This Row],[Row Num]]), " ")</f>
        <v xml:space="preserve"> </v>
      </c>
      <c r="AH122" s="331" t="str">
        <f>IFERROR(INDEX(Devices[Part], Devices[[#This Row],[Sel D]], 1), "")</f>
        <v/>
      </c>
      <c r="AI122" s="331" t="str">
        <f>IFERROR(INDEX(Devices[Part], Devices[[#This Row],[Sel IntRdiv]], 1), "")</f>
        <v/>
      </c>
      <c r="AJ122" s="331" t="str">
        <f>IFERROR(INDEX(Devices[Part], Devices[[#This Row],[Sel SE]], 1), "")</f>
        <v/>
      </c>
      <c r="AK122" s="331" t="str">
        <f>IFERROR(INDEX(Devices[Part], Devices[[#This Row],[Sel N]], 1), "")</f>
        <v/>
      </c>
      <c r="AM122" s="246"/>
    </row>
    <row r="123" spans="1:39" ht="15" customHeight="1">
      <c r="A123" s="261"/>
      <c r="B123" s="248"/>
      <c r="C123" s="354"/>
      <c r="D123" s="333"/>
      <c r="E123" s="333"/>
      <c r="F123" s="334"/>
      <c r="G123" s="334"/>
      <c r="H123" s="335"/>
      <c r="I123" s="335"/>
      <c r="J123" s="336"/>
      <c r="K123" s="336"/>
      <c r="L123" s="333"/>
      <c r="M123" s="333"/>
      <c r="N123" s="334"/>
      <c r="O123" s="334"/>
      <c r="P123" s="337"/>
      <c r="Q123" s="338"/>
      <c r="R123" s="338"/>
      <c r="S123" s="338"/>
      <c r="T123" s="339"/>
      <c r="U123" s="339"/>
      <c r="V123" s="340"/>
      <c r="W123" s="340"/>
      <c r="X123" s="341"/>
      <c r="Y123" s="331">
        <f t="shared" si="7"/>
        <v>117</v>
      </c>
      <c r="Z123" s="331">
        <f>IF(OR($AN$18=Devices[[#This Row],[Input Type]], 0=Devices[[#This Row],[Input Type]]),Devices[[#This Row],[Row Num]], " ")</f>
        <v>117</v>
      </c>
      <c r="AA123" s="331">
        <f>IF(OR($AN$19=Devices[[#This Row],[Input Type]], 0=Devices[[#This Row],[Input Type]]),Devices[[#This Row],[Row Num]], " ")</f>
        <v>117</v>
      </c>
      <c r="AB123" s="331">
        <f>IF(OR($AN$20=Devices[[#This Row],[Input Type]], 0=Devices[[#This Row],[Input Type]]),Devices[[#This Row],[Row Num]], " ")</f>
        <v>117</v>
      </c>
      <c r="AC123" s="331">
        <f>IF(0=Devices[[#This Row],[Input Type]], Devices[[#This Row],[Row Num]], " ")</f>
        <v>117</v>
      </c>
      <c r="AD123" s="331" t="str">
        <f>IFERROR(SMALL(Devices[Row Sel D], Devices[[#This Row],[Row Num]]), " ")</f>
        <v xml:space="preserve"> </v>
      </c>
      <c r="AE123" s="331" t="str">
        <f>IFERROR(SMALL(Devices[Row Sel IntRdiv], Devices[[#This Row],[Row Num]]), " ")</f>
        <v xml:space="preserve"> </v>
      </c>
      <c r="AF123" s="331" t="str">
        <f>IFERROR(SMALL(Devices[Row Sel SE], Devices[[#This Row],[Row Num]]), " ")</f>
        <v xml:space="preserve"> </v>
      </c>
      <c r="AG123" s="331" t="str">
        <f>IFERROR(SMALL(Devices[Row Sel N], Devices[[#This Row],[Row Num]]), " ")</f>
        <v xml:space="preserve"> </v>
      </c>
      <c r="AH123" s="331" t="str">
        <f>IFERROR(INDEX(Devices[Part], Devices[[#This Row],[Sel D]], 1), "")</f>
        <v/>
      </c>
      <c r="AI123" s="331" t="str">
        <f>IFERROR(INDEX(Devices[Part], Devices[[#This Row],[Sel IntRdiv]], 1), "")</f>
        <v/>
      </c>
      <c r="AJ123" s="331" t="str">
        <f>IFERROR(INDEX(Devices[Part], Devices[[#This Row],[Sel SE]], 1), "")</f>
        <v/>
      </c>
      <c r="AK123" s="331" t="str">
        <f>IFERROR(INDEX(Devices[Part], Devices[[#This Row],[Sel N]], 1), "")</f>
        <v/>
      </c>
    </row>
    <row r="124" spans="1:39" ht="15" customHeight="1">
      <c r="A124" s="261"/>
      <c r="B124" s="248"/>
      <c r="C124" s="354"/>
      <c r="D124" s="333"/>
      <c r="E124" s="333"/>
      <c r="F124" s="334"/>
      <c r="G124" s="334"/>
      <c r="H124" s="335"/>
      <c r="I124" s="335"/>
      <c r="J124" s="336"/>
      <c r="K124" s="336"/>
      <c r="L124" s="333"/>
      <c r="M124" s="333"/>
      <c r="N124" s="334"/>
      <c r="O124" s="334"/>
      <c r="P124" s="337"/>
      <c r="Q124" s="338"/>
      <c r="R124" s="338"/>
      <c r="S124" s="338"/>
      <c r="T124" s="339"/>
      <c r="U124" s="339"/>
      <c r="V124" s="340"/>
      <c r="W124" s="340"/>
      <c r="X124" s="341"/>
      <c r="Y124" s="245">
        <f t="shared" si="0"/>
        <v>118</v>
      </c>
      <c r="Z124" s="245">
        <f>IF(OR($AN$18=Devices[[#This Row],[Input Type]], 0=Devices[[#This Row],[Input Type]]),Devices[[#This Row],[Row Num]], " ")</f>
        <v>118</v>
      </c>
      <c r="AA124" s="245">
        <f>IF(OR($AN$19=Devices[[#This Row],[Input Type]], 0=Devices[[#This Row],[Input Type]]),Devices[[#This Row],[Row Num]], " ")</f>
        <v>118</v>
      </c>
      <c r="AB124" s="245">
        <f>IF(OR($AN$20=Devices[[#This Row],[Input Type]], 0=Devices[[#This Row],[Input Type]]),Devices[[#This Row],[Row Num]], " ")</f>
        <v>118</v>
      </c>
      <c r="AC124" s="245">
        <f>IF(0=Devices[[#This Row],[Input Type]], Devices[[#This Row],[Row Num]], " ")</f>
        <v>118</v>
      </c>
      <c r="AD124" s="245" t="str">
        <f>IFERROR(SMALL(Devices[Row Sel D], Devices[[#This Row],[Row Num]]), " ")</f>
        <v xml:space="preserve"> </v>
      </c>
      <c r="AE124" s="245" t="str">
        <f>IFERROR(SMALL(Devices[Row Sel IntRdiv], Devices[[#This Row],[Row Num]]), " ")</f>
        <v xml:space="preserve"> </v>
      </c>
      <c r="AF124" s="245" t="str">
        <f>IFERROR(SMALL(Devices[Row Sel SE], Devices[[#This Row],[Row Num]]), " ")</f>
        <v xml:space="preserve"> </v>
      </c>
      <c r="AG124" s="245" t="str">
        <f>IFERROR(SMALL(Devices[Row Sel N], Devices[[#This Row],[Row Num]]), " ")</f>
        <v xml:space="preserve"> </v>
      </c>
      <c r="AH124" s="245"/>
      <c r="AI124" s="245" t="str">
        <f>IFERROR(INDEX(Devices[Part], Devices[[#This Row],[Sel IntRdiv]], 1), "")</f>
        <v/>
      </c>
      <c r="AJ124" s="245" t="str">
        <f>IFERROR(INDEX(Devices[Part], Devices[[#This Row],[Sel SE]], 1), "")</f>
        <v/>
      </c>
      <c r="AK124" s="245" t="str">
        <f>IFERROR(INDEX(Devices[Part], Devices[[#This Row],[Sel N]], 1), "")</f>
        <v/>
      </c>
    </row>
    <row r="125" spans="1:39" ht="15" customHeight="1">
      <c r="A125" s="261"/>
      <c r="B125" s="248"/>
      <c r="C125" s="354"/>
      <c r="D125" s="333"/>
      <c r="E125" s="333"/>
      <c r="F125" s="334"/>
      <c r="G125" s="334"/>
      <c r="H125" s="335"/>
      <c r="I125" s="335"/>
      <c r="J125" s="336"/>
      <c r="K125" s="336"/>
      <c r="L125" s="333"/>
      <c r="M125" s="333"/>
      <c r="N125" s="334"/>
      <c r="O125" s="334"/>
      <c r="P125" s="337"/>
      <c r="Q125" s="338"/>
      <c r="R125" s="338"/>
      <c r="S125" s="338"/>
      <c r="T125" s="339"/>
      <c r="U125" s="339"/>
      <c r="V125" s="340"/>
      <c r="W125" s="340"/>
      <c r="X125" s="341"/>
      <c r="Y125" s="245">
        <f t="shared" si="0"/>
        <v>119</v>
      </c>
      <c r="Z125" s="245">
        <f>IF(OR($AN$18=Devices[[#This Row],[Input Type]], 0=Devices[[#This Row],[Input Type]]),Devices[[#This Row],[Row Num]], " ")</f>
        <v>119</v>
      </c>
      <c r="AA125" s="245">
        <f>IF(OR($AN$19=Devices[[#This Row],[Input Type]], 0=Devices[[#This Row],[Input Type]]),Devices[[#This Row],[Row Num]], " ")</f>
        <v>119</v>
      </c>
      <c r="AB125" s="245">
        <f>IF(OR($AN$20=Devices[[#This Row],[Input Type]], 0=Devices[[#This Row],[Input Type]]),Devices[[#This Row],[Row Num]], " ")</f>
        <v>119</v>
      </c>
      <c r="AC125" s="245">
        <f>IF(0=Devices[[#This Row],[Input Type]], Devices[[#This Row],[Row Num]], " ")</f>
        <v>119</v>
      </c>
      <c r="AD125" s="245" t="str">
        <f>IFERROR(SMALL(Devices[Row Sel D], Devices[[#This Row],[Row Num]]), " ")</f>
        <v xml:space="preserve"> </v>
      </c>
      <c r="AE125" s="245" t="str">
        <f>IFERROR(SMALL(Devices[Row Sel IntRdiv], Devices[[#This Row],[Row Num]]), " ")</f>
        <v xml:space="preserve"> </v>
      </c>
      <c r="AF125" s="245" t="str">
        <f>IFERROR(SMALL(Devices[Row Sel SE], Devices[[#This Row],[Row Num]]), " ")</f>
        <v xml:space="preserve"> </v>
      </c>
      <c r="AG125" s="245" t="str">
        <f>IFERROR(SMALL(Devices[Row Sel N], Devices[[#This Row],[Row Num]]), " ")</f>
        <v xml:space="preserve"> </v>
      </c>
      <c r="AH125" s="245"/>
      <c r="AI125" s="245" t="str">
        <f>IFERROR(INDEX(Devices[Part], Devices[[#This Row],[Sel IntRdiv]], 1), "")</f>
        <v/>
      </c>
      <c r="AJ125" s="245" t="str">
        <f>IFERROR(INDEX(Devices[Part], Devices[[#This Row],[Sel SE]], 1), "")</f>
        <v/>
      </c>
      <c r="AK125" s="245" t="str">
        <f>IFERROR(INDEX(Devices[Part], Devices[[#This Row],[Sel N]], 1), "")</f>
        <v/>
      </c>
    </row>
    <row r="126" spans="1:39" ht="15" customHeight="1">
      <c r="A126" s="261"/>
      <c r="B126" s="248"/>
      <c r="C126" s="354"/>
      <c r="D126" s="333"/>
      <c r="E126" s="333"/>
      <c r="F126" s="334"/>
      <c r="G126" s="334"/>
      <c r="H126" s="335"/>
      <c r="I126" s="335"/>
      <c r="J126" s="336"/>
      <c r="K126" s="336"/>
      <c r="L126" s="333"/>
      <c r="M126" s="333"/>
      <c r="N126" s="334"/>
      <c r="O126" s="334"/>
      <c r="P126" s="337"/>
      <c r="Q126" s="342"/>
      <c r="R126" s="342"/>
      <c r="S126" s="342"/>
      <c r="T126" s="339"/>
      <c r="U126" s="339"/>
      <c r="V126" s="343"/>
      <c r="W126" s="343"/>
      <c r="X126" s="341"/>
      <c r="Y126" s="245">
        <f t="shared" si="0"/>
        <v>120</v>
      </c>
      <c r="Z126" s="245">
        <f>IF(OR($AN$18=Devices[[#This Row],[Input Type]], 0=Devices[[#This Row],[Input Type]]),Devices[[#This Row],[Row Num]], " ")</f>
        <v>120</v>
      </c>
      <c r="AA126" s="245">
        <f>IF(OR($AN$19=Devices[[#This Row],[Input Type]], 0=Devices[[#This Row],[Input Type]]),Devices[[#This Row],[Row Num]], " ")</f>
        <v>120</v>
      </c>
      <c r="AB126" s="245">
        <f>IF(OR($AN$20=Devices[[#This Row],[Input Type]], 0=Devices[[#This Row],[Input Type]]),Devices[[#This Row],[Row Num]], " ")</f>
        <v>120</v>
      </c>
      <c r="AC126" s="245">
        <f>IF(0=Devices[[#This Row],[Input Type]], Devices[[#This Row],[Row Num]], " ")</f>
        <v>120</v>
      </c>
      <c r="AD126" s="245" t="str">
        <f>IFERROR(SMALL(Devices[Row Sel D], Devices[[#This Row],[Row Num]]), " ")</f>
        <v xml:space="preserve"> </v>
      </c>
      <c r="AE126" s="245" t="str">
        <f>IFERROR(SMALL(Devices[Row Sel IntRdiv], Devices[[#This Row],[Row Num]]), " ")</f>
        <v xml:space="preserve"> </v>
      </c>
      <c r="AF126" s="245" t="str">
        <f>IFERROR(SMALL(Devices[Row Sel SE], Devices[[#This Row],[Row Num]]), " ")</f>
        <v xml:space="preserve"> </v>
      </c>
      <c r="AG126" s="245" t="str">
        <f>IFERROR(SMALL(Devices[Row Sel N], Devices[[#This Row],[Row Num]]), " ")</f>
        <v xml:space="preserve"> </v>
      </c>
      <c r="AH126" s="245"/>
      <c r="AI126" s="245" t="str">
        <f>IFERROR(INDEX(Devices[Part], Devices[[#This Row],[Sel IntRdiv]], 1), "")</f>
        <v/>
      </c>
      <c r="AJ126" s="245" t="str">
        <f>IFERROR(INDEX(Devices[Part], Devices[[#This Row],[Sel SE]], 1), "")</f>
        <v/>
      </c>
      <c r="AK126" s="245" t="str">
        <f>IFERROR(INDEX(Devices[Part], Devices[[#This Row],[Sel N]], 1), "")</f>
        <v/>
      </c>
      <c r="AM126" s="246"/>
    </row>
    <row r="127" spans="1:39" ht="15" customHeight="1">
      <c r="A127" s="281"/>
      <c r="B127" s="241"/>
      <c r="C127" s="354"/>
      <c r="D127" s="325"/>
      <c r="E127" s="325"/>
      <c r="F127" s="326"/>
      <c r="G127" s="326"/>
      <c r="H127" s="327"/>
      <c r="I127" s="327"/>
      <c r="J127" s="328"/>
      <c r="K127" s="328"/>
      <c r="L127" s="325"/>
      <c r="M127" s="325"/>
      <c r="N127" s="326"/>
      <c r="O127" s="326"/>
      <c r="P127" s="329"/>
      <c r="Q127" s="330"/>
      <c r="R127" s="332"/>
      <c r="S127" s="332"/>
      <c r="T127" s="322"/>
      <c r="U127" s="322"/>
      <c r="V127" s="322"/>
      <c r="W127" s="323"/>
      <c r="X127" s="324"/>
      <c r="Y127" s="245">
        <f t="shared" si="0"/>
        <v>121</v>
      </c>
      <c r="Z127" s="245">
        <f>IF(OR($AN$18=Devices[[#This Row],[Input Type]], 0=Devices[[#This Row],[Input Type]]),Devices[[#This Row],[Row Num]], " ")</f>
        <v>121</v>
      </c>
      <c r="AA127" s="245">
        <f>IF(OR($AN$19=Devices[[#This Row],[Input Type]], 0=Devices[[#This Row],[Input Type]]),Devices[[#This Row],[Row Num]], " ")</f>
        <v>121</v>
      </c>
      <c r="AB127" s="245">
        <f>IF(OR($AN$20=Devices[[#This Row],[Input Type]], 0=Devices[[#This Row],[Input Type]]),Devices[[#This Row],[Row Num]], " ")</f>
        <v>121</v>
      </c>
      <c r="AC127" s="245">
        <f>IF(0=Devices[[#This Row],[Input Type]], Devices[[#This Row],[Row Num]], " ")</f>
        <v>121</v>
      </c>
      <c r="AD127" s="245" t="str">
        <f>IFERROR(SMALL(Devices[Row Sel D], Devices[[#This Row],[Row Num]]), " ")</f>
        <v xml:space="preserve"> </v>
      </c>
      <c r="AE127" s="245" t="str">
        <f>IFERROR(SMALL(Devices[Row Sel IntRdiv], Devices[[#This Row],[Row Num]]), " ")</f>
        <v xml:space="preserve"> </v>
      </c>
      <c r="AF127" s="245" t="str">
        <f>IFERROR(SMALL(Devices[Row Sel SE], Devices[[#This Row],[Row Num]]), " ")</f>
        <v xml:space="preserve"> </v>
      </c>
      <c r="AG127" s="245" t="str">
        <f>IFERROR(SMALL(Devices[Row Sel N], Devices[[#This Row],[Row Num]]), " ")</f>
        <v xml:space="preserve"> </v>
      </c>
      <c r="AH127" s="245"/>
      <c r="AI127" s="245" t="str">
        <f>IFERROR(INDEX(Devices[Part], Devices[[#This Row],[Sel IntRdiv]], 1), "")</f>
        <v/>
      </c>
      <c r="AJ127" s="245" t="str">
        <f>IFERROR(INDEX(Devices[Part], Devices[[#This Row],[Sel SE]], 1), "")</f>
        <v/>
      </c>
      <c r="AK127" s="245" t="str">
        <f>IFERROR(INDEX(Devices[Part], Devices[[#This Row],[Sel N]], 1), "")</f>
        <v/>
      </c>
    </row>
    <row r="128" spans="1:39" ht="15" customHeight="1">
      <c r="A128" s="281"/>
      <c r="B128" s="241"/>
      <c r="C128" s="354"/>
      <c r="D128" s="325"/>
      <c r="E128" s="325"/>
      <c r="F128" s="326"/>
      <c r="G128" s="326"/>
      <c r="H128" s="327"/>
      <c r="I128" s="327"/>
      <c r="J128" s="328"/>
      <c r="K128" s="328"/>
      <c r="L128" s="325"/>
      <c r="M128" s="325"/>
      <c r="N128" s="326"/>
      <c r="O128" s="326"/>
      <c r="P128" s="329"/>
      <c r="Q128" s="330"/>
      <c r="R128" s="332"/>
      <c r="S128" s="332"/>
      <c r="T128" s="322"/>
      <c r="U128" s="322"/>
      <c r="V128" s="322"/>
      <c r="W128" s="323"/>
      <c r="X128" s="324"/>
      <c r="Y128" s="245">
        <f t="shared" si="0"/>
        <v>122</v>
      </c>
      <c r="Z128" s="245">
        <f>IF(OR($AN$18=Devices[[#This Row],[Input Type]], 0=Devices[[#This Row],[Input Type]]),Devices[[#This Row],[Row Num]], " ")</f>
        <v>122</v>
      </c>
      <c r="AA128" s="245">
        <f>IF(OR($AN$19=Devices[[#This Row],[Input Type]], 0=Devices[[#This Row],[Input Type]]),Devices[[#This Row],[Row Num]], " ")</f>
        <v>122</v>
      </c>
      <c r="AB128" s="245">
        <f>IF(OR($AN$20=Devices[[#This Row],[Input Type]], 0=Devices[[#This Row],[Input Type]]),Devices[[#This Row],[Row Num]], " ")</f>
        <v>122</v>
      </c>
      <c r="AC128" s="245">
        <f>IF(0=Devices[[#This Row],[Input Type]], Devices[[#This Row],[Row Num]], " ")</f>
        <v>122</v>
      </c>
      <c r="AD128" s="245" t="str">
        <f>IFERROR(SMALL(Devices[Row Sel D], Devices[[#This Row],[Row Num]]), " ")</f>
        <v xml:space="preserve"> </v>
      </c>
      <c r="AE128" s="245" t="str">
        <f>IFERROR(SMALL(Devices[Row Sel IntRdiv], Devices[[#This Row],[Row Num]]), " ")</f>
        <v xml:space="preserve"> </v>
      </c>
      <c r="AF128" s="245" t="str">
        <f>IFERROR(SMALL(Devices[Row Sel SE], Devices[[#This Row],[Row Num]]), " ")</f>
        <v xml:space="preserve"> </v>
      </c>
      <c r="AG128" s="245" t="str">
        <f>IFERROR(SMALL(Devices[Row Sel N], Devices[[#This Row],[Row Num]]), " ")</f>
        <v xml:space="preserve"> </v>
      </c>
      <c r="AH128" s="245"/>
      <c r="AI128" s="245" t="str">
        <f>IFERROR(INDEX(Devices[Part], Devices[[#This Row],[Sel IntRdiv]], 1), "")</f>
        <v/>
      </c>
      <c r="AJ128" s="245" t="str">
        <f>IFERROR(INDEX(Devices[Part], Devices[[#This Row],[Sel SE]], 1), "")</f>
        <v/>
      </c>
      <c r="AK128" s="245" t="str">
        <f>IFERROR(INDEX(Devices[Part], Devices[[#This Row],[Sel N]], 1), "")</f>
        <v/>
      </c>
    </row>
    <row r="129" spans="1:37" ht="15" customHeight="1">
      <c r="A129" s="281"/>
      <c r="B129" s="241"/>
      <c r="C129" s="354"/>
      <c r="D129" s="325"/>
      <c r="E129" s="325"/>
      <c r="F129" s="326"/>
      <c r="G129" s="326"/>
      <c r="H129" s="327"/>
      <c r="I129" s="327"/>
      <c r="J129" s="328"/>
      <c r="K129" s="328"/>
      <c r="L129" s="325"/>
      <c r="M129" s="325"/>
      <c r="N129" s="326"/>
      <c r="O129" s="326"/>
      <c r="P129" s="329"/>
      <c r="Q129" s="330"/>
      <c r="R129" s="332"/>
      <c r="S129" s="332"/>
      <c r="T129" s="322"/>
      <c r="U129" s="322"/>
      <c r="V129" s="322"/>
      <c r="W129" s="323"/>
      <c r="X129" s="324"/>
      <c r="Y129" s="245">
        <f t="shared" si="0"/>
        <v>123</v>
      </c>
      <c r="Z129" s="245">
        <f>IF(OR($AN$18=Devices[[#This Row],[Input Type]], 0=Devices[[#This Row],[Input Type]]),Devices[[#This Row],[Row Num]], " ")</f>
        <v>123</v>
      </c>
      <c r="AA129" s="245">
        <f>IF(OR($AN$19=Devices[[#This Row],[Input Type]], 0=Devices[[#This Row],[Input Type]]),Devices[[#This Row],[Row Num]], " ")</f>
        <v>123</v>
      </c>
      <c r="AB129" s="245">
        <f>IF(OR($AN$20=Devices[[#This Row],[Input Type]], 0=Devices[[#This Row],[Input Type]]),Devices[[#This Row],[Row Num]], " ")</f>
        <v>123</v>
      </c>
      <c r="AC129" s="245">
        <f>IF(0=Devices[[#This Row],[Input Type]], Devices[[#This Row],[Row Num]], " ")</f>
        <v>123</v>
      </c>
      <c r="AD129" s="245" t="str">
        <f>IFERROR(SMALL(Devices[Row Sel D], Devices[[#This Row],[Row Num]]), " ")</f>
        <v xml:space="preserve"> </v>
      </c>
      <c r="AE129" s="245" t="str">
        <f>IFERROR(SMALL(Devices[Row Sel IntRdiv], Devices[[#This Row],[Row Num]]), " ")</f>
        <v xml:space="preserve"> </v>
      </c>
      <c r="AF129" s="245" t="str">
        <f>IFERROR(SMALL(Devices[Row Sel SE], Devices[[#This Row],[Row Num]]), " ")</f>
        <v xml:space="preserve"> </v>
      </c>
      <c r="AG129" s="260" t="str">
        <f>IFERROR(SMALL(Devices[Row Sel N], Devices[[#This Row],[Row Num]]), " ")</f>
        <v xml:space="preserve"> </v>
      </c>
      <c r="AH129" s="245"/>
      <c r="AI129" s="245" t="str">
        <f>IFERROR(INDEX(Devices[Part], Devices[[#This Row],[Sel IntRdiv]], 1), "")</f>
        <v/>
      </c>
      <c r="AJ129" s="245" t="str">
        <f>IFERROR(INDEX(Devices[Part], Devices[[#This Row],[Sel SE]], 1), "")</f>
        <v/>
      </c>
      <c r="AK129" s="245" t="str">
        <f>IFERROR(INDEX(Devices[Part], Devices[[#This Row],[Sel N]], 1), "")</f>
        <v/>
      </c>
    </row>
    <row r="130" spans="1:37" ht="15" customHeight="1">
      <c r="A130" s="281"/>
      <c r="B130" s="241"/>
      <c r="C130" s="354"/>
      <c r="D130" s="325"/>
      <c r="E130" s="325"/>
      <c r="F130" s="326"/>
      <c r="G130" s="326"/>
      <c r="H130" s="327"/>
      <c r="I130" s="327"/>
      <c r="J130" s="328"/>
      <c r="K130" s="328"/>
      <c r="L130" s="325"/>
      <c r="M130" s="325"/>
      <c r="N130" s="326"/>
      <c r="O130" s="326"/>
      <c r="P130" s="329"/>
      <c r="Q130" s="330"/>
      <c r="R130" s="332"/>
      <c r="S130" s="332"/>
      <c r="T130" s="322"/>
      <c r="U130" s="322"/>
      <c r="V130" s="322"/>
      <c r="W130" s="323"/>
      <c r="X130" s="259"/>
      <c r="Y130" s="245">
        <f t="shared" si="0"/>
        <v>124</v>
      </c>
      <c r="Z130" s="245">
        <f>IF(OR($AN$18=Devices[[#This Row],[Input Type]], 0=Devices[[#This Row],[Input Type]]),Devices[[#This Row],[Row Num]], " ")</f>
        <v>124</v>
      </c>
      <c r="AA130" s="245">
        <f>IF(OR($AN$19=Devices[[#This Row],[Input Type]], 0=Devices[[#This Row],[Input Type]]),Devices[[#This Row],[Row Num]], " ")</f>
        <v>124</v>
      </c>
      <c r="AB130" s="245">
        <f>IF(OR($AN$20=Devices[[#This Row],[Input Type]], 0=Devices[[#This Row],[Input Type]]),Devices[[#This Row],[Row Num]], " ")</f>
        <v>124</v>
      </c>
      <c r="AC130" s="245">
        <f>IF(0=Devices[[#This Row],[Input Type]], Devices[[#This Row],[Row Num]], " ")</f>
        <v>124</v>
      </c>
      <c r="AD130" s="245" t="str">
        <f>IFERROR(SMALL(Devices[Row Sel D], Devices[[#This Row],[Row Num]]), " ")</f>
        <v xml:space="preserve"> </v>
      </c>
      <c r="AE130" s="245" t="str">
        <f>IFERROR(SMALL(Devices[Row Sel IntRdiv], Devices[[#This Row],[Row Num]]), " ")</f>
        <v xml:space="preserve"> </v>
      </c>
      <c r="AF130" s="245" t="str">
        <f>IFERROR(SMALL(Devices[Row Sel SE], Devices[[#This Row],[Row Num]]), " ")</f>
        <v xml:space="preserve"> </v>
      </c>
      <c r="AG130" s="260" t="str">
        <f>IFERROR(SMALL(Devices[Row Sel N], Devices[[#This Row],[Row Num]]), " ")</f>
        <v xml:space="preserve"> </v>
      </c>
      <c r="AH130" s="245"/>
      <c r="AI130" s="245" t="str">
        <f>IFERROR(INDEX(Devices[Part], Devices[[#This Row],[Sel IntRdiv]], 1), "")</f>
        <v/>
      </c>
      <c r="AJ130" s="245" t="str">
        <f>IFERROR(INDEX(Devices[Part], Devices[[#This Row],[Sel SE]], 1), "")</f>
        <v/>
      </c>
      <c r="AK130" s="245" t="str">
        <f>IFERROR(INDEX(Devices[Part], Devices[[#This Row],[Sel N]], 1), "")</f>
        <v/>
      </c>
    </row>
    <row r="131" spans="1:37" ht="15" customHeight="1">
      <c r="A131" s="281"/>
      <c r="B131" s="248"/>
      <c r="C131" s="354"/>
      <c r="D131" s="325"/>
      <c r="E131" s="325"/>
      <c r="F131" s="326"/>
      <c r="G131" s="326"/>
      <c r="H131" s="327"/>
      <c r="I131" s="327"/>
      <c r="J131" s="328"/>
      <c r="K131" s="328"/>
      <c r="L131" s="325"/>
      <c r="M131" s="325"/>
      <c r="N131" s="326"/>
      <c r="O131" s="326"/>
      <c r="P131" s="329"/>
      <c r="Q131" s="330"/>
      <c r="R131" s="332"/>
      <c r="S131" s="332"/>
      <c r="T131" s="322"/>
      <c r="U131" s="322"/>
      <c r="V131" s="322"/>
      <c r="W131" s="323"/>
      <c r="X131" s="259"/>
      <c r="Y131" s="331">
        <f>ROW()-6</f>
        <v>125</v>
      </c>
      <c r="Z131" s="331">
        <f>IF(OR($AN$18=Devices[[#This Row],[Input Type]], 0=Devices[[#This Row],[Input Type]]),Devices[[#This Row],[Row Num]], " ")</f>
        <v>125</v>
      </c>
      <c r="AA131" s="331">
        <f>IF(OR($AN$19=Devices[[#This Row],[Input Type]], 0=Devices[[#This Row],[Input Type]]),Devices[[#This Row],[Row Num]], " ")</f>
        <v>125</v>
      </c>
      <c r="AB131" s="331">
        <f>IF(OR($AN$20=Devices[[#This Row],[Input Type]], 0=Devices[[#This Row],[Input Type]]),Devices[[#This Row],[Row Num]], " ")</f>
        <v>125</v>
      </c>
      <c r="AC131" s="331">
        <f>IF(0=Devices[[#This Row],[Input Type]], Devices[[#This Row],[Row Num]], " ")</f>
        <v>125</v>
      </c>
      <c r="AD131" s="331" t="str">
        <f>IFERROR(SMALL(Devices[Row Sel D], Devices[[#This Row],[Row Num]]), " ")</f>
        <v xml:space="preserve"> </v>
      </c>
      <c r="AE131" s="331" t="str">
        <f>IFERROR(SMALL(Devices[Row Sel IntRdiv], Devices[[#This Row],[Row Num]]), " ")</f>
        <v xml:space="preserve"> </v>
      </c>
      <c r="AF131" s="331" t="str">
        <f>IFERROR(SMALL(Devices[Row Sel SE], Devices[[#This Row],[Row Num]]), " ")</f>
        <v xml:space="preserve"> </v>
      </c>
      <c r="AG131" s="331" t="str">
        <f>IFERROR(SMALL(Devices[Row Sel N], Devices[[#This Row],[Row Num]]), " ")</f>
        <v xml:space="preserve"> </v>
      </c>
      <c r="AH131" s="331" t="str">
        <f>IFERROR(INDEX(Devices[Part], Devices[[#This Row],[Sel D]], 1), "")</f>
        <v/>
      </c>
      <c r="AI131" s="331" t="str">
        <f>IFERROR(INDEX(Devices[Part], Devices[[#This Row],[Sel IntRdiv]], 1), "")</f>
        <v/>
      </c>
      <c r="AJ131" s="331" t="str">
        <f>IFERROR(INDEX(Devices[Part], Devices[[#This Row],[Sel SE]], 1), "")</f>
        <v/>
      </c>
      <c r="AK131" s="331" t="str">
        <f>IFERROR(INDEX(Devices[Part], Devices[[#This Row],[Sel N]], 1), "")</f>
        <v/>
      </c>
    </row>
    <row r="132" spans="1:37" ht="15" customHeight="1">
      <c r="A132" s="281"/>
      <c r="B132" s="241"/>
      <c r="C132" s="354"/>
      <c r="D132" s="325"/>
      <c r="E132" s="325"/>
      <c r="F132" s="326"/>
      <c r="G132" s="326"/>
      <c r="H132" s="327"/>
      <c r="I132" s="327"/>
      <c r="J132" s="328"/>
      <c r="K132" s="328"/>
      <c r="L132" s="325"/>
      <c r="M132" s="325"/>
      <c r="N132" s="326"/>
      <c r="O132" s="326"/>
      <c r="P132" s="329"/>
      <c r="Q132" s="330"/>
      <c r="R132" s="332"/>
      <c r="S132" s="332"/>
      <c r="T132" s="322"/>
      <c r="U132" s="323"/>
      <c r="V132" s="323"/>
      <c r="W132" s="323"/>
      <c r="X132" s="259"/>
      <c r="Y132" s="245">
        <f t="shared" si="0"/>
        <v>126</v>
      </c>
      <c r="Z132" s="245">
        <f>IF(OR($AN$18=Devices[[#This Row],[Input Type]], 0=Devices[[#This Row],[Input Type]]),Devices[[#This Row],[Row Num]], " ")</f>
        <v>126</v>
      </c>
      <c r="AA132" s="245">
        <f>IF(OR($AN$19=Devices[[#This Row],[Input Type]], 0=Devices[[#This Row],[Input Type]]),Devices[[#This Row],[Row Num]], " ")</f>
        <v>126</v>
      </c>
      <c r="AB132" s="245">
        <f>IF(OR($AN$20=Devices[[#This Row],[Input Type]], 0=Devices[[#This Row],[Input Type]]),Devices[[#This Row],[Row Num]], " ")</f>
        <v>126</v>
      </c>
      <c r="AC132" s="245">
        <f>IF(0=Devices[[#This Row],[Input Type]], Devices[[#This Row],[Row Num]], " ")</f>
        <v>126</v>
      </c>
      <c r="AD132" s="245" t="str">
        <f>IFERROR(SMALL(Devices[Row Sel D], Devices[[#This Row],[Row Num]]), " ")</f>
        <v xml:space="preserve"> </v>
      </c>
      <c r="AE132" s="245" t="str">
        <f>IFERROR(SMALL(Devices[Row Sel IntRdiv], Devices[[#This Row],[Row Num]]), " ")</f>
        <v xml:space="preserve"> </v>
      </c>
      <c r="AF132" s="245" t="str">
        <f>IFERROR(SMALL(Devices[Row Sel SE], Devices[[#This Row],[Row Num]]), " ")</f>
        <v xml:space="preserve"> </v>
      </c>
      <c r="AG132" s="245" t="str">
        <f>IFERROR(SMALL(Devices[Row Sel N], Devices[[#This Row],[Row Num]]), " ")</f>
        <v xml:space="preserve"> </v>
      </c>
      <c r="AH132" s="245"/>
      <c r="AI132" s="245" t="str">
        <f>IFERROR(INDEX(Devices[Part], Devices[[#This Row],[Sel IntRdiv]], 1), "")</f>
        <v/>
      </c>
      <c r="AJ132" s="245" t="str">
        <f>IFERROR(INDEX(Devices[Part], Devices[[#This Row],[Sel SE]], 1), "")</f>
        <v/>
      </c>
      <c r="AK132" s="245" t="str">
        <f>IFERROR(INDEX(Devices[Part], Devices[[#This Row],[Sel N]], 1), "")</f>
        <v/>
      </c>
    </row>
    <row r="133" spans="1:37" ht="15" customHeight="1">
      <c r="A133" s="281"/>
      <c r="B133" s="311"/>
      <c r="C133" s="354"/>
      <c r="D133" s="325"/>
      <c r="E133" s="325"/>
      <c r="F133" s="326"/>
      <c r="G133" s="326"/>
      <c r="H133" s="327"/>
      <c r="I133" s="327"/>
      <c r="J133" s="328"/>
      <c r="K133" s="328"/>
      <c r="L133" s="325"/>
      <c r="M133" s="325"/>
      <c r="N133" s="326"/>
      <c r="O133" s="326"/>
      <c r="P133" s="329"/>
      <c r="Q133" s="330"/>
      <c r="R133" s="332"/>
      <c r="S133" s="332"/>
      <c r="T133" s="322"/>
      <c r="U133" s="323"/>
      <c r="V133" s="323"/>
      <c r="W133" s="323"/>
      <c r="X133" s="259"/>
      <c r="Y133" s="245">
        <f t="shared" si="0"/>
        <v>127</v>
      </c>
      <c r="Z133" s="245">
        <f>IF(OR($AN$18=Devices[[#This Row],[Input Type]], 0=Devices[[#This Row],[Input Type]]),Devices[[#This Row],[Row Num]], " ")</f>
        <v>127</v>
      </c>
      <c r="AA133" s="245">
        <f>IF(OR($AN$19=Devices[[#This Row],[Input Type]], 0=Devices[[#This Row],[Input Type]]),Devices[[#This Row],[Row Num]], " ")</f>
        <v>127</v>
      </c>
      <c r="AB133" s="245">
        <f>IF(OR($AN$20=Devices[[#This Row],[Input Type]], 0=Devices[[#This Row],[Input Type]]),Devices[[#This Row],[Row Num]], " ")</f>
        <v>127</v>
      </c>
      <c r="AC133" s="245">
        <f>IF(0=Devices[[#This Row],[Input Type]], Devices[[#This Row],[Row Num]], " ")</f>
        <v>127</v>
      </c>
      <c r="AD133" s="245" t="str">
        <f>IFERROR(SMALL(Devices[Row Sel D], Devices[[#This Row],[Row Num]]), " ")</f>
        <v xml:space="preserve"> </v>
      </c>
      <c r="AE133" s="245" t="str">
        <f>IFERROR(SMALL(Devices[Row Sel IntRdiv], Devices[[#This Row],[Row Num]]), " ")</f>
        <v xml:space="preserve"> </v>
      </c>
      <c r="AF133" s="245" t="str">
        <f>IFERROR(SMALL(Devices[Row Sel SE], Devices[[#This Row],[Row Num]]), " ")</f>
        <v xml:space="preserve"> </v>
      </c>
      <c r="AG133" s="331" t="str">
        <f>IFERROR(SMALL(Devices[Row Sel N], Devices[[#This Row],[Row Num]]), " ")</f>
        <v xml:space="preserve"> </v>
      </c>
      <c r="AH133" s="245"/>
      <c r="AI133" s="245" t="str">
        <f>IFERROR(INDEX(Devices[Part], Devices[[#This Row],[Sel IntRdiv]], 1), "")</f>
        <v/>
      </c>
      <c r="AJ133" s="245" t="str">
        <f>IFERROR(INDEX(Devices[Part], Devices[[#This Row],[Sel SE]], 1), "")</f>
        <v/>
      </c>
      <c r="AK133" s="245" t="str">
        <f>IFERROR(INDEX(Devices[Part], Devices[[#This Row],[Sel N]], 1), "")</f>
        <v/>
      </c>
    </row>
    <row r="134" spans="1:37" ht="15" customHeight="1">
      <c r="A134" s="177"/>
      <c r="B134" s="207"/>
      <c r="C134" s="207"/>
      <c r="D134" s="207"/>
      <c r="E134" s="344"/>
      <c r="F134" s="344"/>
      <c r="G134" s="345"/>
      <c r="H134" s="345"/>
      <c r="I134" s="346"/>
      <c r="J134" s="346"/>
      <c r="K134" s="207"/>
      <c r="L134" s="207"/>
      <c r="M134" s="344"/>
      <c r="N134" s="344"/>
      <c r="O134" s="347"/>
      <c r="P134" s="348"/>
      <c r="Q134" s="348"/>
      <c r="R134" s="349"/>
      <c r="S134" s="349"/>
      <c r="T134" s="348"/>
      <c r="U134" s="350"/>
      <c r="V134" s="350"/>
      <c r="W134" s="350"/>
    </row>
    <row r="135" spans="1:37" ht="15" customHeight="1">
      <c r="A135" s="177"/>
      <c r="B135" s="207"/>
      <c r="C135" s="207"/>
      <c r="D135" s="207"/>
      <c r="E135" s="344"/>
      <c r="F135" s="344"/>
      <c r="G135" s="345"/>
      <c r="H135" s="345"/>
      <c r="I135" s="346"/>
      <c r="J135" s="346"/>
      <c r="K135" s="207"/>
      <c r="L135" s="207"/>
      <c r="M135" s="344"/>
      <c r="N135" s="344"/>
      <c r="O135" s="347"/>
      <c r="P135" s="348"/>
      <c r="Q135" s="348"/>
      <c r="R135" s="349"/>
      <c r="S135" s="349"/>
      <c r="T135" s="348"/>
      <c r="U135" s="350"/>
      <c r="V135" s="350"/>
      <c r="W135" s="350"/>
    </row>
    <row r="136" spans="1:37" ht="15" customHeight="1">
      <c r="A136" s="177"/>
      <c r="B136" s="207"/>
      <c r="C136" s="207"/>
      <c r="D136" s="207"/>
      <c r="E136" s="344"/>
      <c r="F136" s="344"/>
      <c r="G136" s="345"/>
      <c r="H136" s="345"/>
      <c r="I136" s="346"/>
      <c r="J136" s="346"/>
      <c r="K136" s="207"/>
      <c r="L136" s="207"/>
      <c r="M136" s="344"/>
      <c r="N136" s="344"/>
      <c r="O136" s="347"/>
      <c r="P136" s="348"/>
      <c r="Q136" s="348"/>
      <c r="R136" s="349"/>
      <c r="S136" s="349"/>
      <c r="T136" s="348"/>
      <c r="U136" s="350"/>
      <c r="V136" s="350"/>
      <c r="W136" s="350"/>
    </row>
    <row r="137" spans="1:37" ht="15" customHeight="1">
      <c r="A137" s="177"/>
      <c r="B137" s="207"/>
      <c r="C137" s="207"/>
      <c r="D137" s="207"/>
      <c r="E137" s="344"/>
      <c r="F137" s="344"/>
      <c r="G137" s="345"/>
      <c r="H137" s="345"/>
      <c r="I137" s="346"/>
      <c r="J137" s="346"/>
      <c r="K137" s="207"/>
      <c r="L137" s="207"/>
      <c r="M137" s="344"/>
      <c r="N137" s="344"/>
      <c r="O137" s="347"/>
      <c r="P137" s="348"/>
      <c r="Q137" s="348"/>
      <c r="R137" s="349"/>
      <c r="S137" s="349"/>
      <c r="T137" s="348"/>
      <c r="U137" s="350"/>
      <c r="V137" s="350"/>
      <c r="W137" s="350"/>
    </row>
    <row r="138" spans="1:37" ht="15" customHeight="1">
      <c r="A138" s="177"/>
      <c r="B138" s="207"/>
      <c r="C138" s="207"/>
      <c r="D138" s="207"/>
      <c r="E138" s="344"/>
      <c r="F138" s="344"/>
      <c r="G138" s="345"/>
      <c r="H138" s="345"/>
      <c r="I138" s="346"/>
      <c r="J138" s="346"/>
      <c r="K138" s="207"/>
      <c r="L138" s="207"/>
      <c r="M138" s="344"/>
      <c r="N138" s="344"/>
      <c r="O138" s="347"/>
      <c r="P138" s="348"/>
      <c r="Q138" s="348"/>
      <c r="R138" s="349"/>
      <c r="S138" s="349"/>
      <c r="T138" s="348"/>
      <c r="U138" s="350"/>
      <c r="V138" s="350"/>
      <c r="W138" s="350"/>
    </row>
    <row r="139" spans="1:37" ht="15" customHeight="1">
      <c r="A139" s="177"/>
      <c r="B139" s="207"/>
      <c r="C139" s="207"/>
      <c r="D139" s="207"/>
      <c r="E139" s="344"/>
      <c r="F139" s="344"/>
      <c r="G139" s="345"/>
      <c r="H139" s="345"/>
      <c r="I139" s="346"/>
      <c r="J139" s="346"/>
      <c r="K139" s="207"/>
      <c r="L139" s="207"/>
      <c r="M139" s="344"/>
      <c r="N139" s="344"/>
      <c r="O139" s="347"/>
      <c r="P139" s="348"/>
      <c r="Q139" s="348"/>
      <c r="R139" s="349"/>
      <c r="S139" s="349"/>
      <c r="T139" s="348"/>
      <c r="U139" s="350"/>
      <c r="V139" s="350"/>
      <c r="W139" s="350"/>
    </row>
    <row r="140" spans="1:37" ht="15" customHeight="1">
      <c r="A140" s="177"/>
      <c r="B140" s="207"/>
      <c r="C140" s="207"/>
      <c r="D140" s="207"/>
      <c r="E140" s="344"/>
      <c r="F140" s="344"/>
      <c r="G140" s="345"/>
      <c r="H140" s="345"/>
      <c r="I140" s="346"/>
      <c r="J140" s="346"/>
      <c r="K140" s="207"/>
      <c r="L140" s="207"/>
      <c r="M140" s="344"/>
      <c r="N140" s="344"/>
      <c r="O140" s="347"/>
      <c r="P140" s="348"/>
      <c r="Q140" s="348"/>
      <c r="R140" s="349"/>
      <c r="S140" s="349"/>
      <c r="T140" s="348"/>
      <c r="U140" s="350"/>
      <c r="V140" s="350"/>
      <c r="W140" s="350"/>
    </row>
    <row r="141" spans="1:37" ht="15" customHeight="1">
      <c r="A141" s="177"/>
      <c r="B141" s="207"/>
      <c r="C141" s="207"/>
      <c r="D141" s="207"/>
      <c r="E141" s="344"/>
      <c r="F141" s="344"/>
      <c r="G141" s="345"/>
      <c r="H141" s="345"/>
      <c r="I141" s="346"/>
      <c r="J141" s="346"/>
      <c r="K141" s="207"/>
      <c r="L141" s="207"/>
      <c r="M141" s="344"/>
      <c r="N141" s="344"/>
      <c r="O141" s="347"/>
      <c r="P141" s="348"/>
      <c r="Q141" s="348"/>
      <c r="R141" s="349"/>
      <c r="S141" s="349"/>
      <c r="T141" s="348"/>
      <c r="U141" s="350"/>
      <c r="V141" s="350"/>
      <c r="W141" s="350"/>
    </row>
    <row r="142" spans="1:37" ht="15" customHeight="1">
      <c r="A142" s="177"/>
      <c r="B142" s="207"/>
      <c r="C142" s="207"/>
      <c r="D142" s="207"/>
      <c r="E142" s="344"/>
      <c r="F142" s="344"/>
      <c r="G142" s="345"/>
      <c r="H142" s="345"/>
      <c r="I142" s="346"/>
      <c r="J142" s="346"/>
      <c r="K142" s="207"/>
      <c r="L142" s="207"/>
      <c r="M142" s="344"/>
      <c r="N142" s="344"/>
      <c r="O142" s="347"/>
      <c r="P142" s="348"/>
      <c r="Q142" s="348"/>
      <c r="R142" s="349"/>
      <c r="S142" s="349"/>
      <c r="T142" s="348"/>
      <c r="U142" s="350"/>
      <c r="V142" s="350"/>
      <c r="W142" s="350"/>
    </row>
    <row r="143" spans="1:37" ht="15" customHeight="1">
      <c r="A143" s="177"/>
      <c r="B143" s="207"/>
      <c r="C143" s="207"/>
      <c r="D143" s="207"/>
      <c r="E143" s="344"/>
      <c r="F143" s="344"/>
      <c r="G143" s="345"/>
      <c r="H143" s="345"/>
      <c r="I143" s="346"/>
      <c r="J143" s="346"/>
      <c r="K143" s="207"/>
      <c r="L143" s="207"/>
      <c r="M143" s="344"/>
      <c r="N143" s="344"/>
      <c r="O143" s="347"/>
      <c r="P143" s="348"/>
      <c r="Q143" s="348"/>
      <c r="R143" s="349"/>
      <c r="S143" s="349"/>
      <c r="T143" s="348"/>
      <c r="U143" s="350"/>
      <c r="V143" s="350"/>
      <c r="W143" s="350"/>
    </row>
    <row r="144" spans="1:37" ht="15" customHeight="1">
      <c r="A144" s="177"/>
      <c r="B144" s="207"/>
      <c r="C144" s="207"/>
      <c r="D144" s="207"/>
      <c r="E144" s="344"/>
      <c r="F144" s="344"/>
      <c r="G144" s="345"/>
      <c r="H144" s="345"/>
      <c r="I144" s="346"/>
      <c r="J144" s="346"/>
      <c r="K144" s="207"/>
      <c r="L144" s="207"/>
      <c r="M144" s="344"/>
      <c r="N144" s="344"/>
      <c r="O144" s="347"/>
      <c r="P144" s="348"/>
      <c r="Q144" s="348"/>
      <c r="R144" s="349"/>
      <c r="S144" s="349"/>
      <c r="T144" s="348"/>
      <c r="U144" s="350"/>
      <c r="V144" s="350"/>
      <c r="W144" s="350"/>
    </row>
    <row r="145" spans="1:23" ht="15" customHeight="1">
      <c r="A145" s="177"/>
      <c r="B145" s="207"/>
      <c r="C145" s="207"/>
      <c r="D145" s="207"/>
      <c r="E145" s="344"/>
      <c r="F145" s="344"/>
      <c r="G145" s="345"/>
      <c r="H145" s="345"/>
      <c r="I145" s="346"/>
      <c r="J145" s="346"/>
      <c r="K145" s="207"/>
      <c r="L145" s="207"/>
      <c r="M145" s="344"/>
      <c r="N145" s="344"/>
      <c r="O145" s="347"/>
      <c r="P145" s="348"/>
      <c r="Q145" s="348"/>
      <c r="R145" s="349"/>
      <c r="S145" s="349"/>
      <c r="T145" s="348"/>
      <c r="U145" s="350"/>
      <c r="V145" s="350"/>
      <c r="W145" s="350"/>
    </row>
    <row r="146" spans="1:23" ht="15" customHeight="1">
      <c r="A146" s="177"/>
      <c r="B146" s="207"/>
      <c r="C146" s="207"/>
      <c r="D146" s="207"/>
      <c r="E146" s="344"/>
      <c r="F146" s="344"/>
      <c r="G146" s="345"/>
      <c r="H146" s="345"/>
      <c r="I146" s="346"/>
      <c r="J146" s="346"/>
      <c r="K146" s="207"/>
      <c r="L146" s="207"/>
      <c r="M146" s="344"/>
      <c r="N146" s="344"/>
      <c r="O146" s="347"/>
      <c r="P146" s="348"/>
      <c r="Q146" s="348"/>
      <c r="R146" s="349"/>
      <c r="S146" s="349"/>
      <c r="T146" s="348"/>
      <c r="U146" s="350"/>
      <c r="V146" s="350"/>
      <c r="W146" s="350"/>
    </row>
    <row r="147" spans="1:23" ht="15" customHeight="1">
      <c r="A147" s="177"/>
      <c r="B147" s="207"/>
      <c r="C147" s="207"/>
      <c r="D147" s="207"/>
      <c r="E147" s="344"/>
      <c r="F147" s="344"/>
      <c r="G147" s="345"/>
      <c r="H147" s="345"/>
      <c r="I147" s="346"/>
      <c r="J147" s="346"/>
      <c r="K147" s="207"/>
      <c r="L147" s="207"/>
      <c r="M147" s="344"/>
      <c r="N147" s="344"/>
      <c r="O147" s="347"/>
      <c r="P147" s="348"/>
      <c r="Q147" s="348"/>
      <c r="R147" s="349"/>
      <c r="S147" s="349"/>
      <c r="T147" s="348"/>
      <c r="U147" s="350"/>
      <c r="V147" s="350"/>
      <c r="W147" s="350"/>
    </row>
    <row r="148" spans="1:23" ht="15" customHeight="1">
      <c r="A148" s="177"/>
      <c r="B148" s="207"/>
      <c r="C148" s="207"/>
      <c r="D148" s="207"/>
      <c r="E148" s="344"/>
      <c r="F148" s="344"/>
      <c r="G148" s="345"/>
      <c r="H148" s="345"/>
      <c r="I148" s="346"/>
      <c r="J148" s="346"/>
      <c r="K148" s="207"/>
      <c r="L148" s="207"/>
      <c r="M148" s="344"/>
      <c r="N148" s="344"/>
      <c r="O148" s="347"/>
      <c r="P148" s="348"/>
      <c r="Q148" s="348"/>
      <c r="R148" s="349"/>
      <c r="S148" s="349"/>
      <c r="T148" s="348"/>
      <c r="U148" s="350"/>
      <c r="V148" s="350"/>
      <c r="W148" s="350"/>
    </row>
    <row r="149" spans="1:23" ht="15" customHeight="1">
      <c r="A149" s="177"/>
      <c r="B149" s="207"/>
      <c r="C149" s="207"/>
      <c r="D149" s="207"/>
      <c r="E149" s="344"/>
      <c r="F149" s="344"/>
      <c r="G149" s="345"/>
      <c r="H149" s="345"/>
      <c r="I149" s="346"/>
      <c r="J149" s="346"/>
      <c r="K149" s="207"/>
      <c r="L149" s="207"/>
      <c r="M149" s="344"/>
      <c r="N149" s="344"/>
      <c r="O149" s="347"/>
      <c r="P149" s="348"/>
      <c r="Q149" s="348"/>
      <c r="R149" s="349"/>
      <c r="S149" s="349"/>
      <c r="T149" s="348"/>
      <c r="U149" s="350"/>
      <c r="V149" s="350"/>
      <c r="W149" s="350"/>
    </row>
    <row r="150" spans="1:23" ht="15" customHeight="1">
      <c r="A150" s="177"/>
      <c r="B150" s="207"/>
      <c r="C150" s="207"/>
      <c r="D150" s="207"/>
      <c r="E150" s="344"/>
      <c r="F150" s="344"/>
      <c r="G150" s="345"/>
      <c r="H150" s="345"/>
      <c r="I150" s="346"/>
      <c r="J150" s="346"/>
      <c r="K150" s="207"/>
      <c r="L150" s="207"/>
      <c r="M150" s="344"/>
      <c r="N150" s="344"/>
      <c r="O150" s="347"/>
      <c r="P150" s="348"/>
      <c r="Q150" s="348"/>
      <c r="R150" s="349"/>
      <c r="S150" s="349"/>
      <c r="T150" s="348"/>
      <c r="U150" s="350"/>
      <c r="V150" s="350"/>
      <c r="W150" s="350"/>
    </row>
    <row r="151" spans="1:23" ht="15" customHeight="1">
      <c r="A151" s="177"/>
      <c r="B151" s="207"/>
      <c r="C151" s="207"/>
      <c r="D151" s="207"/>
      <c r="E151" s="344"/>
      <c r="F151" s="344"/>
      <c r="G151" s="345"/>
      <c r="H151" s="345"/>
      <c r="I151" s="346"/>
      <c r="J151" s="346"/>
      <c r="K151" s="207"/>
      <c r="L151" s="207"/>
      <c r="M151" s="344"/>
      <c r="N151" s="344"/>
      <c r="O151" s="347"/>
      <c r="P151" s="348"/>
      <c r="Q151" s="348"/>
      <c r="R151" s="349"/>
      <c r="S151" s="349"/>
      <c r="T151" s="348"/>
      <c r="U151" s="350"/>
      <c r="V151" s="350"/>
      <c r="W151" s="350"/>
    </row>
    <row r="152" spans="1:23">
      <c r="A152" s="177"/>
      <c r="B152" s="207"/>
      <c r="C152" s="207"/>
      <c r="D152" s="207"/>
      <c r="E152" s="344"/>
      <c r="F152" s="344"/>
      <c r="G152" s="345"/>
      <c r="H152" s="345"/>
      <c r="I152" s="346"/>
      <c r="J152" s="346"/>
      <c r="K152" s="207"/>
      <c r="L152" s="207"/>
      <c r="M152" s="344"/>
      <c r="N152" s="344"/>
      <c r="O152" s="347"/>
      <c r="P152" s="348"/>
      <c r="Q152" s="348"/>
      <c r="R152" s="349"/>
      <c r="S152" s="349"/>
      <c r="T152" s="348"/>
      <c r="U152" s="350"/>
      <c r="V152" s="350"/>
      <c r="W152" s="350"/>
    </row>
    <row r="153" spans="1:23">
      <c r="A153" s="177"/>
      <c r="B153" s="207"/>
      <c r="C153" s="207"/>
      <c r="D153" s="207"/>
      <c r="E153" s="344"/>
      <c r="F153" s="344"/>
      <c r="G153" s="345"/>
      <c r="H153" s="345"/>
      <c r="I153" s="346"/>
      <c r="J153" s="346"/>
      <c r="K153" s="207"/>
      <c r="L153" s="207"/>
      <c r="M153" s="344"/>
      <c r="N153" s="344"/>
      <c r="O153" s="347"/>
      <c r="P153" s="348"/>
      <c r="Q153" s="348"/>
      <c r="R153" s="349"/>
      <c r="S153" s="349"/>
      <c r="T153" s="348"/>
      <c r="U153" s="350"/>
      <c r="V153" s="350"/>
      <c r="W153" s="350"/>
    </row>
    <row r="154" spans="1:23" ht="17.100000000000001" customHeight="1">
      <c r="A154" s="177"/>
      <c r="B154" s="207"/>
      <c r="C154" s="207"/>
      <c r="D154" s="207"/>
      <c r="E154" s="344"/>
      <c r="F154" s="344"/>
      <c r="G154" s="345"/>
      <c r="H154" s="345"/>
      <c r="I154" s="346"/>
      <c r="J154" s="346"/>
      <c r="K154" s="207"/>
      <c r="L154" s="207"/>
      <c r="M154" s="344"/>
      <c r="N154" s="344"/>
      <c r="O154" s="347"/>
      <c r="P154" s="348"/>
      <c r="Q154" s="348"/>
      <c r="R154" s="349"/>
      <c r="S154" s="349"/>
      <c r="T154" s="348"/>
      <c r="U154" s="350"/>
      <c r="V154" s="350"/>
      <c r="W154" s="350"/>
    </row>
    <row r="155" spans="1:23">
      <c r="A155" s="177"/>
      <c r="B155" s="207"/>
      <c r="C155" s="207"/>
      <c r="D155" s="207"/>
      <c r="E155" s="344"/>
      <c r="F155" s="344"/>
      <c r="G155" s="345"/>
      <c r="H155" s="345"/>
      <c r="I155" s="346"/>
      <c r="J155" s="346"/>
      <c r="K155" s="207"/>
      <c r="L155" s="207"/>
      <c r="M155" s="344"/>
      <c r="N155" s="344"/>
      <c r="O155" s="347"/>
      <c r="P155" s="348"/>
      <c r="Q155" s="348"/>
      <c r="R155" s="349"/>
      <c r="S155" s="349"/>
      <c r="T155" s="348"/>
      <c r="U155" s="350"/>
      <c r="V155" s="350"/>
      <c r="W155" s="350"/>
    </row>
    <row r="156" spans="1:23">
      <c r="A156" s="177"/>
      <c r="B156" s="207"/>
      <c r="C156" s="207"/>
      <c r="D156" s="207"/>
      <c r="E156" s="344"/>
      <c r="F156" s="344"/>
      <c r="G156" s="345"/>
      <c r="H156" s="345"/>
      <c r="I156" s="346"/>
      <c r="J156" s="346"/>
      <c r="K156" s="207"/>
      <c r="L156" s="207"/>
      <c r="M156" s="344"/>
      <c r="N156" s="344"/>
      <c r="O156" s="347"/>
      <c r="P156" s="348"/>
      <c r="Q156" s="348"/>
      <c r="R156" s="349"/>
      <c r="S156" s="349"/>
      <c r="T156" s="348"/>
      <c r="U156" s="350"/>
      <c r="V156" s="350"/>
      <c r="W156" s="350"/>
    </row>
    <row r="157" spans="1:23">
      <c r="A157" s="177"/>
      <c r="B157" s="207"/>
      <c r="C157" s="207"/>
      <c r="D157" s="207"/>
      <c r="E157" s="344"/>
      <c r="F157" s="344"/>
      <c r="G157" s="345"/>
      <c r="H157" s="345"/>
      <c r="I157" s="346"/>
      <c r="J157" s="346"/>
      <c r="K157" s="207"/>
      <c r="L157" s="207"/>
      <c r="M157" s="344"/>
      <c r="N157" s="344"/>
      <c r="O157" s="347"/>
      <c r="P157" s="348"/>
      <c r="Q157" s="348"/>
      <c r="R157" s="349"/>
      <c r="S157" s="349"/>
      <c r="T157" s="348"/>
      <c r="U157" s="350"/>
      <c r="V157" s="350"/>
      <c r="W157" s="350"/>
    </row>
    <row r="158" spans="1:23">
      <c r="A158" s="177"/>
      <c r="B158" s="207"/>
      <c r="C158" s="207"/>
      <c r="D158" s="207"/>
      <c r="E158" s="344"/>
      <c r="F158" s="344"/>
      <c r="G158" s="345"/>
      <c r="H158" s="345"/>
      <c r="I158" s="346"/>
      <c r="J158" s="346"/>
      <c r="K158" s="207"/>
      <c r="L158" s="207"/>
      <c r="M158" s="344"/>
      <c r="N158" s="344"/>
      <c r="O158" s="347"/>
      <c r="P158" s="348"/>
      <c r="Q158" s="348"/>
      <c r="R158" s="349"/>
      <c r="S158" s="349"/>
      <c r="T158" s="348"/>
      <c r="U158" s="350"/>
      <c r="V158" s="350"/>
      <c r="W158" s="350"/>
    </row>
    <row r="170" spans="2:18" ht="15" customHeight="1"/>
    <row r="171" spans="2:18" ht="15" customHeight="1"/>
    <row r="172" spans="2:18" ht="15" customHeight="1"/>
    <row r="173" spans="2:18" ht="15" customHeight="1"/>
    <row r="174" spans="2:18" ht="15" customHeight="1"/>
    <row r="175" spans="2:18" ht="15" customHeight="1">
      <c r="B175" s="691"/>
      <c r="F175" s="691"/>
      <c r="G175" s="691"/>
      <c r="H175" s="691"/>
      <c r="I175" s="691"/>
      <c r="J175" s="691"/>
      <c r="K175" s="691"/>
      <c r="M175" s="691"/>
      <c r="N175" s="691"/>
      <c r="O175" s="691"/>
      <c r="P175" s="691"/>
      <c r="R175" s="691"/>
    </row>
    <row r="176" spans="2:18" ht="15" customHeight="1">
      <c r="B176" s="691"/>
      <c r="F176" s="691"/>
      <c r="G176" s="691"/>
      <c r="H176" s="691"/>
      <c r="I176" s="691"/>
      <c r="J176" s="691"/>
      <c r="K176" s="691"/>
      <c r="M176" s="691"/>
      <c r="N176" s="691"/>
      <c r="O176" s="691"/>
      <c r="P176" s="691"/>
      <c r="R176" s="691"/>
    </row>
    <row r="177" spans="1:23" ht="15" customHeight="1">
      <c r="A177" s="17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row>
    <row r="178" spans="1:23" ht="15" customHeight="1">
      <c r="A178" s="17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row>
    <row r="179" spans="1:23" ht="15" customHeight="1">
      <c r="A179" s="17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row>
    <row r="180" spans="1:23" ht="15" customHeight="1">
      <c r="A180" s="177"/>
      <c r="S180" s="207"/>
      <c r="T180" s="207"/>
      <c r="U180" s="207"/>
      <c r="V180" s="207"/>
      <c r="W180" s="207"/>
    </row>
    <row r="181" spans="1:23" ht="15" customHeight="1">
      <c r="A181" s="177"/>
      <c r="S181" s="207"/>
      <c r="T181" s="207"/>
      <c r="U181" s="207"/>
      <c r="V181" s="207"/>
      <c r="W181" s="207"/>
    </row>
    <row r="182" spans="1:23" ht="15" customHeight="1">
      <c r="A182" s="177"/>
      <c r="S182" s="207"/>
      <c r="T182" s="207"/>
      <c r="U182" s="207"/>
      <c r="V182" s="207"/>
      <c r="W182" s="207"/>
    </row>
    <row r="183" spans="1:23" ht="15" customHeight="1">
      <c r="A183" s="177"/>
      <c r="S183" s="207"/>
      <c r="T183" s="207"/>
      <c r="U183" s="207"/>
      <c r="V183" s="207"/>
      <c r="W183" s="207"/>
    </row>
    <row r="184" spans="1:23" ht="15" customHeight="1">
      <c r="A184" s="177"/>
      <c r="S184" s="207"/>
      <c r="T184" s="207"/>
      <c r="U184" s="207"/>
      <c r="V184" s="207"/>
      <c r="W184" s="207"/>
    </row>
    <row r="185" spans="1:23" ht="15" customHeight="1">
      <c r="A185" s="177"/>
      <c r="S185" s="207"/>
      <c r="T185" s="207"/>
      <c r="U185" s="207"/>
      <c r="V185" s="207"/>
      <c r="W185" s="207"/>
    </row>
    <row r="186" spans="1:23" ht="15" customHeight="1">
      <c r="A186" s="177"/>
      <c r="S186" s="207"/>
      <c r="T186" s="207"/>
      <c r="U186" s="207"/>
      <c r="V186" s="207"/>
      <c r="W186" s="207"/>
    </row>
    <row r="187" spans="1:23" ht="15" customHeight="1">
      <c r="A187" s="177"/>
      <c r="S187" s="207"/>
      <c r="T187" s="207"/>
      <c r="U187" s="207"/>
      <c r="V187" s="207"/>
      <c r="W187" s="207"/>
    </row>
    <row r="188" spans="1:23" ht="15" customHeight="1">
      <c r="A188" s="177"/>
      <c r="S188" s="207"/>
      <c r="T188" s="207"/>
      <c r="U188" s="207"/>
      <c r="V188" s="207"/>
      <c r="W188" s="207"/>
    </row>
    <row r="189" spans="1:23" ht="15" customHeight="1">
      <c r="A189" s="177"/>
      <c r="S189" s="207"/>
      <c r="T189" s="207"/>
      <c r="U189" s="207"/>
      <c r="V189" s="207"/>
      <c r="W189" s="207"/>
    </row>
    <row r="190" spans="1:23" ht="15" customHeight="1">
      <c r="A190" s="177"/>
      <c r="S190" s="207"/>
      <c r="T190" s="207"/>
      <c r="U190" s="207"/>
      <c r="V190" s="207"/>
      <c r="W190" s="207"/>
    </row>
    <row r="191" spans="1:23" ht="15" customHeight="1">
      <c r="A191" s="177"/>
      <c r="S191" s="207"/>
      <c r="T191" s="207"/>
      <c r="U191" s="207"/>
      <c r="V191" s="207"/>
      <c r="W191" s="207"/>
    </row>
    <row r="192" spans="1:23" ht="15" customHeight="1">
      <c r="A192" s="177"/>
      <c r="S192" s="207"/>
      <c r="T192" s="207"/>
      <c r="U192" s="207"/>
      <c r="V192" s="207"/>
      <c r="W192" s="207"/>
    </row>
    <row r="193" spans="1:23" ht="15" customHeight="1">
      <c r="A193" s="177"/>
      <c r="S193" s="207"/>
      <c r="T193" s="207"/>
      <c r="U193" s="207"/>
      <c r="V193" s="207"/>
      <c r="W193" s="207"/>
    </row>
    <row r="194" spans="1:23" ht="15" customHeight="1">
      <c r="A194" s="177"/>
      <c r="S194" s="207"/>
      <c r="T194" s="207"/>
      <c r="U194" s="207"/>
      <c r="V194" s="207"/>
      <c r="W194" s="207"/>
    </row>
    <row r="195" spans="1:23" ht="15" customHeight="1">
      <c r="A195" s="177"/>
      <c r="S195" s="207"/>
      <c r="T195" s="207"/>
      <c r="U195" s="207"/>
      <c r="V195" s="207"/>
      <c r="W195" s="207"/>
    </row>
    <row r="196" spans="1:23" ht="15" customHeight="1">
      <c r="A196" s="177"/>
      <c r="S196" s="207"/>
      <c r="T196" s="207"/>
      <c r="U196" s="207"/>
      <c r="V196" s="207"/>
      <c r="W196" s="207"/>
    </row>
    <row r="197" spans="1:23" ht="15" customHeight="1">
      <c r="A197" s="17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row>
    <row r="198" spans="1:23" ht="15" customHeight="1">
      <c r="A198" s="17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row>
    <row r="199" spans="1:23" ht="15" customHeight="1">
      <c r="A199" s="17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row>
    <row r="200" spans="1:23" ht="15" customHeight="1">
      <c r="A200" s="17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row>
    <row r="201" spans="1:23" ht="15" customHeight="1">
      <c r="A201" s="17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row>
    <row r="202" spans="1:23" ht="15" customHeight="1">
      <c r="A202" s="17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row>
    <row r="203" spans="1:23" ht="15" customHeight="1">
      <c r="A203" s="17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row>
    <row r="204" spans="1:23" ht="15" customHeight="1">
      <c r="A204" s="17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row>
    <row r="205" spans="1:23" ht="15" customHeight="1">
      <c r="A205" s="17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row>
    <row r="206" spans="1:23" ht="15" customHeight="1">
      <c r="A206" s="17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row>
    <row r="207" spans="1:23" ht="15" customHeight="1">
      <c r="A207" s="17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row>
    <row r="208" spans="1:23" ht="15" customHeight="1">
      <c r="A208" s="17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row>
    <row r="209" spans="1:23" ht="15" customHeight="1">
      <c r="A209" s="17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row>
    <row r="210" spans="1:23" ht="15" customHeight="1">
      <c r="A210" s="17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row>
    <row r="211" spans="1:23" ht="15" customHeight="1">
      <c r="A211" s="17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row>
    <row r="212" spans="1:23" ht="15" customHeight="1">
      <c r="A212" s="17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row>
    <row r="213" spans="1:23" ht="15" customHeight="1">
      <c r="A213" s="17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row>
    <row r="214" spans="1:23" ht="15" customHeight="1">
      <c r="A214" s="17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row>
    <row r="215" spans="1:23" ht="15" customHeight="1">
      <c r="A215" s="17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row>
    <row r="216" spans="1:23" ht="15" customHeight="1">
      <c r="A216" s="17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row>
    <row r="217" spans="1:23" ht="15" customHeight="1">
      <c r="A217" s="17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row>
    <row r="218" spans="1:23" ht="15" customHeight="1">
      <c r="A218" s="17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row>
    <row r="219" spans="1:23" ht="15" customHeight="1">
      <c r="A219" s="17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row>
    <row r="220" spans="1:23" ht="15" customHeight="1">
      <c r="A220" s="17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row>
    <row r="221" spans="1:23" ht="15" customHeight="1">
      <c r="A221" s="17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row>
    <row r="222" spans="1:23" ht="15" customHeight="1">
      <c r="A222" s="17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row>
    <row r="223" spans="1:23" ht="15" customHeight="1">
      <c r="A223" s="17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row>
    <row r="224" spans="1:23" ht="15" customHeight="1">
      <c r="A224" s="17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row>
    <row r="225" spans="1:23" ht="15" customHeight="1">
      <c r="A225" s="17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row>
    <row r="226" spans="1:23" ht="15" customHeight="1">
      <c r="A226" s="17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row>
    <row r="227" spans="1:23" ht="15" customHeight="1">
      <c r="A227" s="17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row>
    <row r="228" spans="1:23" ht="15" customHeight="1">
      <c r="A228" s="17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row>
    <row r="229" spans="1:23" ht="15" customHeight="1">
      <c r="A229" s="17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row>
    <row r="230" spans="1:23" ht="15" customHeight="1">
      <c r="A230" s="17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row>
    <row r="231" spans="1:23" ht="15" customHeight="1">
      <c r="A231" s="17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row>
    <row r="232" spans="1:23" ht="15" customHeight="1">
      <c r="A232" s="17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row>
    <row r="233" spans="1:23" ht="15" customHeight="1">
      <c r="A233" s="17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row>
    <row r="234" spans="1:23" ht="15" customHeight="1">
      <c r="A234" s="17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row>
    <row r="235" spans="1:23" ht="15" customHeight="1">
      <c r="A235" s="17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row>
    <row r="236" spans="1:23" ht="15" customHeight="1">
      <c r="A236" s="17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row>
    <row r="237" spans="1:23" ht="15" customHeight="1">
      <c r="A237" s="17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row>
    <row r="238" spans="1:23" ht="15" customHeight="1">
      <c r="A238" s="17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row>
    <row r="239" spans="1:23" ht="15" customHeight="1">
      <c r="A239" s="17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row>
    <row r="240" spans="1:23" ht="15" customHeight="1">
      <c r="A240" s="17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row>
    <row r="241" spans="1:23" ht="15" customHeight="1">
      <c r="A241" s="17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row>
    <row r="242" spans="1:23" ht="15" customHeight="1">
      <c r="A242" s="17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row>
    <row r="243" spans="1:23" ht="15" customHeight="1">
      <c r="A243" s="17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row>
    <row r="244" spans="1:23" ht="15" customHeight="1">
      <c r="A244" s="17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row>
    <row r="245" spans="1:23" ht="15" customHeight="1">
      <c r="A245" s="17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row>
    <row r="246" spans="1:23" ht="15" customHeight="1">
      <c r="A246" s="17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row>
    <row r="247" spans="1:23" ht="15" customHeight="1">
      <c r="A247" s="17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row>
    <row r="248" spans="1:23" ht="15" customHeight="1">
      <c r="A248" s="17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row>
    <row r="249" spans="1:23" ht="15" customHeight="1">
      <c r="A249" s="17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row>
    <row r="250" spans="1:23" ht="15" customHeight="1">
      <c r="A250" s="17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row>
    <row r="251" spans="1:23">
      <c r="A251" s="17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row>
    <row r="252" spans="1:23">
      <c r="A252" s="17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row>
    <row r="253" spans="1:23">
      <c r="A253" s="17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row>
    <row r="254" spans="1:23">
      <c r="A254" s="17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row>
    <row r="255" spans="1:23">
      <c r="A255" s="17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row>
    <row r="256" spans="1:23">
      <c r="A256" s="17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row>
    <row r="257" spans="1:23">
      <c r="A257" s="17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row>
    <row r="258" spans="1:23">
      <c r="A258" s="17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row>
    <row r="259" spans="1:23">
      <c r="A259" s="177"/>
      <c r="B259" s="207"/>
      <c r="C259" s="207"/>
      <c r="D259" s="207"/>
      <c r="E259" s="344"/>
      <c r="F259" s="344"/>
      <c r="G259" s="345"/>
      <c r="H259" s="345"/>
      <c r="I259" s="346"/>
      <c r="J259" s="346"/>
      <c r="K259" s="207"/>
      <c r="L259" s="207"/>
      <c r="M259" s="344"/>
      <c r="N259" s="344"/>
      <c r="O259" s="347"/>
      <c r="P259" s="348"/>
      <c r="Q259" s="348"/>
      <c r="R259" s="348"/>
      <c r="S259" s="348"/>
      <c r="T259" s="348"/>
      <c r="U259" s="350"/>
      <c r="V259" s="350"/>
      <c r="W259" s="350"/>
    </row>
    <row r="260" spans="1:23">
      <c r="A260" s="177"/>
      <c r="B260" s="207"/>
      <c r="C260" s="207"/>
      <c r="D260" s="207"/>
      <c r="E260" s="344"/>
      <c r="F260" s="344"/>
      <c r="G260" s="345"/>
      <c r="H260" s="345"/>
      <c r="I260" s="346"/>
      <c r="J260" s="346"/>
      <c r="K260" s="207"/>
      <c r="L260" s="207"/>
      <c r="M260" s="344"/>
      <c r="N260" s="344"/>
      <c r="O260" s="347"/>
      <c r="P260" s="348"/>
      <c r="Q260" s="348"/>
      <c r="R260" s="348"/>
      <c r="S260" s="348"/>
      <c r="T260" s="348"/>
      <c r="U260" s="350"/>
      <c r="V260" s="350"/>
      <c r="W260" s="350"/>
    </row>
    <row r="261" spans="1:23">
      <c r="A261" s="177"/>
      <c r="B261" s="207"/>
      <c r="C261" s="207"/>
      <c r="D261" s="207"/>
      <c r="E261" s="344"/>
      <c r="F261" s="344"/>
      <c r="G261" s="345"/>
      <c r="H261" s="345"/>
      <c r="I261" s="346"/>
      <c r="J261" s="346"/>
      <c r="K261" s="207"/>
      <c r="L261" s="207"/>
      <c r="M261" s="344"/>
      <c r="N261" s="344"/>
      <c r="O261" s="347"/>
      <c r="P261" s="348"/>
      <c r="Q261" s="348"/>
      <c r="R261" s="348"/>
      <c r="S261" s="348"/>
      <c r="T261" s="348"/>
      <c r="U261" s="350"/>
      <c r="V261" s="350"/>
      <c r="W261" s="350"/>
    </row>
    <row r="262" spans="1:23">
      <c r="A262" s="177"/>
      <c r="B262" s="207"/>
      <c r="C262" s="207"/>
      <c r="D262" s="207"/>
      <c r="E262" s="344"/>
      <c r="F262" s="344"/>
      <c r="G262" s="345"/>
      <c r="H262" s="345"/>
      <c r="I262" s="346"/>
      <c r="J262" s="346"/>
      <c r="K262" s="207"/>
      <c r="L262" s="207"/>
      <c r="M262" s="344"/>
      <c r="N262" s="344"/>
      <c r="O262" s="347"/>
      <c r="P262" s="348"/>
      <c r="Q262" s="348"/>
      <c r="R262" s="348"/>
      <c r="S262" s="348"/>
      <c r="T262" s="348"/>
      <c r="U262" s="350"/>
      <c r="V262" s="350"/>
      <c r="W262" s="350"/>
    </row>
    <row r="263" spans="1:23">
      <c r="A263" s="177"/>
      <c r="B263" s="207"/>
      <c r="C263" s="207"/>
      <c r="D263" s="207"/>
      <c r="E263" s="344"/>
      <c r="F263" s="344"/>
      <c r="G263" s="345"/>
      <c r="H263" s="345"/>
      <c r="I263" s="346"/>
      <c r="J263" s="346"/>
      <c r="K263" s="207"/>
      <c r="L263" s="207"/>
      <c r="M263" s="207"/>
      <c r="N263" s="207"/>
      <c r="O263" s="347"/>
      <c r="P263" s="348"/>
      <c r="Q263" s="348"/>
      <c r="R263" s="348"/>
      <c r="S263" s="348"/>
      <c r="T263" s="348"/>
      <c r="U263" s="350"/>
      <c r="V263" s="350"/>
      <c r="W263" s="350"/>
    </row>
    <row r="264" spans="1:23">
      <c r="A264" s="207"/>
    </row>
    <row r="265" spans="1:23">
      <c r="A265" s="207"/>
    </row>
    <row r="302" spans="82:83">
      <c r="CD302" s="136" t="s">
        <v>55</v>
      </c>
      <c r="CE302" s="136" t="s">
        <v>58</v>
      </c>
    </row>
    <row r="303" spans="82:83" ht="293.45" customHeight="1">
      <c r="CD303" s="136" t="s">
        <v>59</v>
      </c>
      <c r="CE303" s="351" t="s">
        <v>83</v>
      </c>
    </row>
    <row r="304" spans="82:83" ht="293.45" customHeight="1">
      <c r="CD304" s="136" t="s">
        <v>56</v>
      </c>
    </row>
    <row r="305" spans="82:82" ht="293.45" customHeight="1">
      <c r="CD305" s="136" t="s">
        <v>57</v>
      </c>
    </row>
    <row r="306" spans="82:82" ht="293.45" customHeight="1">
      <c r="CD306" s="136" t="s">
        <v>521</v>
      </c>
    </row>
    <row r="307" spans="82:82" ht="293.45" customHeight="1">
      <c r="CD307" s="136" t="s">
        <v>52</v>
      </c>
    </row>
  </sheetData>
  <sheetProtection algorithmName="SHA-512" hashValue="Zcf7Lfpm7/rJEoCsNzh0TYBhBPPGwPZKR/JW7gJQsadlriBF/33+BjFTgy8jGsiszZOB0gX8n3QdqmA7I/kxxQ==" saltValue="570emb4mimLrNbrnOgYmLw==" spinCount="100000" sheet="1" objects="1" scenarios="1"/>
  <mergeCells count="14">
    <mergeCell ref="R175:R176"/>
    <mergeCell ref="A1:M3"/>
    <mergeCell ref="A4:BA4"/>
    <mergeCell ref="B175:B176"/>
    <mergeCell ref="F175:F176"/>
    <mergeCell ref="G175:G176"/>
    <mergeCell ref="H175:H176"/>
    <mergeCell ref="I175:I176"/>
    <mergeCell ref="J175:J176"/>
    <mergeCell ref="K175:K176"/>
    <mergeCell ref="M175:M176"/>
    <mergeCell ref="N175:N176"/>
    <mergeCell ref="O175:O176"/>
    <mergeCell ref="P175:P176"/>
  </mergeCells>
  <phoneticPr fontId="21"/>
  <dataValidations count="1">
    <dataValidation type="list" allowBlank="1" showInputMessage="1" showErrorMessage="1" sqref="B69:B83 B127:B158 B64:B67 B90:B117 C64:C158" xr:uid="{00000000-0002-0000-0300-000000000000}">
      <formula1>inputType</formula1>
    </dataValidation>
  </dataValidations>
  <hyperlinks>
    <hyperlink ref="P5" location="'Table of Contents'!B17" display="Table of Contents" xr:uid="{00000000-0004-0000-0300-000000000000}"/>
  </hyperlinks>
  <pageMargins left="0.7" right="0.7" top="0.75" bottom="0.75" header="0.3" footer="0.3"/>
  <pageSetup orientation="portrait" r:id="rId1"/>
  <drawing r:id="rId2"/>
  <tableParts count="3">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T22"/>
  <sheetViews>
    <sheetView showGridLines="0" showRowColHeaders="0" zoomScaleNormal="100" workbookViewId="0">
      <selection activeCell="R5" sqref="R5:T5"/>
    </sheetView>
  </sheetViews>
  <sheetFormatPr defaultColWidth="9.1328125" defaultRowHeight="14.25"/>
  <cols>
    <col min="1" max="2" width="9.1328125" style="228"/>
    <col min="3" max="3" width="7.86328125" style="228" customWidth="1"/>
    <col min="4" max="4" width="6.59765625" style="228" customWidth="1"/>
    <col min="5" max="17" width="9.1328125" style="228"/>
    <col min="18" max="18" width="18.86328125" style="228" customWidth="1"/>
    <col min="19" max="16384" width="9.1328125" style="228"/>
  </cols>
  <sheetData>
    <row r="1" spans="1:20" ht="12.75" customHeight="1">
      <c r="A1" s="693"/>
      <c r="B1" s="693"/>
      <c r="C1" s="693"/>
      <c r="D1" s="693"/>
      <c r="E1" s="693"/>
      <c r="F1" s="693"/>
      <c r="G1" s="693"/>
      <c r="H1" s="693"/>
      <c r="I1" s="693"/>
      <c r="J1" s="693"/>
      <c r="K1" s="693"/>
      <c r="L1" s="693"/>
      <c r="M1" s="693"/>
      <c r="N1" s="693"/>
      <c r="O1" s="693"/>
      <c r="P1" s="693"/>
      <c r="Q1" s="693"/>
      <c r="R1" s="693"/>
    </row>
    <row r="2" spans="1:20" ht="12.75" customHeight="1">
      <c r="A2" s="693"/>
      <c r="B2" s="693"/>
      <c r="C2" s="693"/>
      <c r="D2" s="693"/>
      <c r="E2" s="693"/>
      <c r="F2" s="693"/>
      <c r="G2" s="693"/>
      <c r="H2" s="693"/>
      <c r="I2" s="693"/>
      <c r="J2" s="693"/>
      <c r="K2" s="693"/>
      <c r="L2" s="693"/>
      <c r="M2" s="693"/>
      <c r="N2" s="693"/>
      <c r="O2" s="693"/>
      <c r="P2" s="693"/>
      <c r="Q2" s="693"/>
      <c r="R2" s="693"/>
    </row>
    <row r="3" spans="1:20" ht="12.75" customHeight="1">
      <c r="A3" s="693"/>
      <c r="B3" s="693"/>
      <c r="C3" s="693"/>
      <c r="D3" s="693"/>
      <c r="E3" s="693"/>
      <c r="F3" s="693"/>
      <c r="G3" s="693"/>
      <c r="H3" s="693"/>
      <c r="I3" s="693"/>
      <c r="J3" s="693"/>
      <c r="K3" s="693"/>
      <c r="L3" s="693"/>
      <c r="M3" s="693"/>
      <c r="N3" s="693"/>
      <c r="O3" s="693"/>
      <c r="P3" s="693"/>
      <c r="Q3" s="693"/>
      <c r="R3" s="693"/>
    </row>
    <row r="4" spans="1:20" ht="12.75" customHeight="1">
      <c r="A4" s="694"/>
      <c r="B4" s="694"/>
      <c r="C4" s="694"/>
      <c r="D4" s="694"/>
      <c r="E4" s="694"/>
      <c r="F4" s="694"/>
      <c r="G4" s="694"/>
      <c r="H4" s="694"/>
      <c r="I4" s="694"/>
      <c r="J4" s="694"/>
      <c r="K4" s="694"/>
      <c r="L4" s="694"/>
      <c r="M4" s="694"/>
      <c r="N4" s="694"/>
      <c r="O4" s="694"/>
      <c r="P4" s="694"/>
      <c r="Q4" s="694"/>
      <c r="R4" s="694"/>
    </row>
    <row r="5" spans="1:20">
      <c r="A5" s="695" t="s">
        <v>207</v>
      </c>
      <c r="B5" s="695"/>
      <c r="C5" s="695"/>
      <c r="D5" s="695"/>
      <c r="E5" s="695"/>
      <c r="F5" s="695"/>
      <c r="G5" s="695"/>
      <c r="H5" s="695"/>
      <c r="I5" s="695"/>
      <c r="J5" s="695"/>
      <c r="K5" s="695"/>
      <c r="L5" s="695"/>
      <c r="M5" s="695"/>
      <c r="N5" s="695"/>
      <c r="O5" s="695"/>
      <c r="P5" s="695"/>
      <c r="Q5" s="229"/>
      <c r="R5" s="628" t="s">
        <v>8</v>
      </c>
      <c r="S5" s="627"/>
      <c r="T5" s="627"/>
    </row>
    <row r="6" spans="1:20" ht="15" customHeight="1">
      <c r="A6" s="230"/>
      <c r="B6" s="230"/>
      <c r="C6" s="230"/>
      <c r="D6" s="230"/>
      <c r="E6" s="230"/>
      <c r="F6" s="230"/>
      <c r="G6" s="230"/>
      <c r="H6" s="230"/>
      <c r="I6" s="230"/>
      <c r="J6" s="230"/>
      <c r="K6" s="230"/>
      <c r="L6" s="230"/>
      <c r="M6" s="230"/>
      <c r="N6" s="230"/>
      <c r="O6" s="230"/>
      <c r="P6" s="230"/>
      <c r="Q6" s="230"/>
      <c r="R6" s="230"/>
      <c r="S6" s="230"/>
    </row>
    <row r="7" spans="1:20" ht="15" customHeight="1">
      <c r="A7" s="230"/>
      <c r="B7" s="230"/>
      <c r="C7" s="230"/>
      <c r="D7" s="230"/>
      <c r="E7" s="230"/>
      <c r="F7" s="230"/>
      <c r="G7" s="230"/>
      <c r="H7" s="230"/>
      <c r="I7" s="230"/>
      <c r="J7" s="230"/>
      <c r="K7" s="230"/>
      <c r="L7" s="230"/>
      <c r="M7" s="230"/>
      <c r="N7" s="230"/>
      <c r="O7" s="230"/>
      <c r="P7" s="230"/>
      <c r="Q7" s="230"/>
      <c r="R7" s="230"/>
      <c r="S7" s="230"/>
    </row>
    <row r="8" spans="1:20" ht="15" customHeight="1">
      <c r="A8" s="230"/>
      <c r="B8" s="230"/>
      <c r="C8" s="230"/>
      <c r="D8" s="230"/>
      <c r="E8" s="230"/>
      <c r="F8" s="230"/>
      <c r="G8" s="230"/>
      <c r="H8" s="230"/>
      <c r="I8" s="230"/>
      <c r="J8" s="230"/>
      <c r="K8" s="230"/>
      <c r="L8" s="230"/>
      <c r="M8" s="230"/>
      <c r="N8" s="230"/>
      <c r="O8" s="230"/>
      <c r="P8" s="230"/>
      <c r="Q8" s="230"/>
      <c r="R8" s="230"/>
      <c r="S8" s="230"/>
    </row>
    <row r="9" spans="1:20" ht="15" customHeight="1">
      <c r="A9" s="230"/>
      <c r="B9" s="230"/>
      <c r="C9" s="230"/>
      <c r="D9" s="230"/>
      <c r="E9" s="230"/>
      <c r="F9" s="230"/>
      <c r="G9" s="230"/>
      <c r="H9" s="230"/>
      <c r="I9" s="230"/>
      <c r="J9" s="230"/>
      <c r="K9" s="230"/>
      <c r="L9" s="230"/>
      <c r="M9" s="230"/>
      <c r="N9" s="230"/>
      <c r="O9" s="230"/>
      <c r="P9" s="230"/>
      <c r="Q9" s="230"/>
      <c r="R9" s="230"/>
      <c r="S9" s="230"/>
    </row>
    <row r="10" spans="1:20" ht="15" customHeight="1">
      <c r="A10" s="230"/>
      <c r="B10" s="230"/>
      <c r="C10" s="230"/>
      <c r="D10" s="230"/>
      <c r="E10" s="230"/>
      <c r="F10" s="230"/>
      <c r="G10" s="230"/>
      <c r="H10" s="230"/>
      <c r="I10" s="230"/>
      <c r="J10" s="230"/>
      <c r="K10" s="230"/>
      <c r="L10" s="230"/>
      <c r="M10" s="230"/>
      <c r="N10" s="230"/>
      <c r="O10" s="230"/>
      <c r="P10" s="230"/>
      <c r="Q10" s="230"/>
      <c r="R10" s="230"/>
      <c r="S10" s="230"/>
    </row>
    <row r="11" spans="1:20" ht="15" customHeight="1">
      <c r="A11" s="230"/>
      <c r="B11" s="230"/>
      <c r="C11" s="230"/>
      <c r="D11" s="230"/>
      <c r="E11" s="230"/>
      <c r="F11" s="230"/>
      <c r="G11" s="230"/>
      <c r="H11" s="230"/>
      <c r="I11" s="230"/>
      <c r="J11" s="230"/>
      <c r="K11" s="230"/>
      <c r="L11" s="230"/>
      <c r="M11" s="230"/>
      <c r="N11" s="230"/>
      <c r="O11" s="230"/>
      <c r="P11" s="230"/>
      <c r="Q11" s="230"/>
      <c r="R11" s="230"/>
      <c r="S11" s="230"/>
    </row>
    <row r="12" spans="1:20" ht="15" customHeight="1">
      <c r="A12" s="230"/>
      <c r="B12" s="230"/>
      <c r="C12" s="230"/>
      <c r="D12" s="230"/>
      <c r="E12" s="230"/>
      <c r="F12" s="230"/>
      <c r="G12" s="230"/>
      <c r="H12" s="230"/>
      <c r="I12" s="230"/>
      <c r="J12" s="230"/>
      <c r="K12" s="230"/>
      <c r="L12" s="230"/>
      <c r="M12" s="230"/>
      <c r="N12" s="230"/>
      <c r="O12" s="230"/>
      <c r="P12" s="230"/>
      <c r="Q12" s="230"/>
      <c r="R12" s="230"/>
      <c r="S12" s="230"/>
    </row>
    <row r="13" spans="1:20" ht="15" customHeight="1">
      <c r="A13" s="230"/>
      <c r="B13" s="230"/>
      <c r="C13" s="230"/>
      <c r="D13" s="230"/>
      <c r="E13" s="230"/>
      <c r="F13" s="230"/>
      <c r="G13" s="230"/>
      <c r="H13" s="230"/>
      <c r="I13" s="230"/>
      <c r="J13" s="230"/>
      <c r="K13" s="230"/>
      <c r="L13" s="230"/>
      <c r="M13" s="230"/>
      <c r="N13" s="230"/>
      <c r="O13" s="230"/>
      <c r="P13" s="230"/>
      <c r="Q13" s="230"/>
      <c r="R13" s="230"/>
      <c r="S13" s="230"/>
    </row>
    <row r="14" spans="1:20" ht="15" customHeight="1">
      <c r="A14" s="230"/>
      <c r="B14" s="230"/>
      <c r="C14" s="230"/>
      <c r="D14" s="230"/>
      <c r="E14" s="230"/>
      <c r="F14" s="230"/>
      <c r="G14" s="230"/>
      <c r="H14" s="230"/>
      <c r="I14" s="230"/>
      <c r="J14" s="230"/>
      <c r="K14" s="230"/>
      <c r="L14" s="230"/>
      <c r="M14" s="230"/>
      <c r="N14" s="230"/>
      <c r="O14" s="230"/>
      <c r="P14" s="230"/>
      <c r="Q14" s="230"/>
      <c r="R14" s="230"/>
      <c r="S14" s="230"/>
    </row>
    <row r="15" spans="1:20" ht="15" customHeight="1">
      <c r="A15" s="230"/>
      <c r="B15" s="230"/>
      <c r="C15" s="230"/>
      <c r="D15" s="230"/>
      <c r="E15" s="230"/>
      <c r="F15" s="230"/>
      <c r="G15" s="230"/>
      <c r="H15" s="230"/>
      <c r="I15" s="230"/>
      <c r="J15" s="230"/>
      <c r="K15" s="230"/>
      <c r="L15" s="230"/>
      <c r="M15" s="230"/>
      <c r="N15" s="230"/>
      <c r="O15" s="230"/>
      <c r="P15" s="230"/>
      <c r="Q15" s="230"/>
      <c r="R15" s="230"/>
      <c r="S15" s="230"/>
    </row>
    <row r="16" spans="1:20" ht="15" customHeight="1">
      <c r="A16" s="230"/>
      <c r="B16" s="230"/>
      <c r="C16" s="230"/>
      <c r="D16" s="230"/>
      <c r="E16" s="230"/>
      <c r="F16" s="230"/>
      <c r="G16" s="230"/>
      <c r="H16" s="230"/>
      <c r="I16" s="230"/>
      <c r="J16" s="230"/>
      <c r="K16" s="230"/>
      <c r="L16" s="230"/>
      <c r="M16" s="230"/>
      <c r="N16" s="230"/>
      <c r="O16" s="230"/>
      <c r="P16" s="230"/>
      <c r="Q16" s="230"/>
      <c r="R16" s="230"/>
      <c r="S16" s="230"/>
    </row>
    <row r="17" spans="1:19" ht="15" customHeight="1">
      <c r="A17" s="230"/>
      <c r="B17" s="230"/>
      <c r="C17" s="230"/>
      <c r="D17" s="230"/>
      <c r="E17" s="230"/>
      <c r="F17" s="230"/>
      <c r="G17" s="230"/>
      <c r="H17" s="230"/>
      <c r="I17" s="230"/>
      <c r="J17" s="230"/>
      <c r="K17" s="230"/>
      <c r="L17" s="230"/>
      <c r="M17" s="230"/>
      <c r="N17" s="230"/>
      <c r="O17" s="230"/>
      <c r="P17" s="230"/>
      <c r="Q17" s="230"/>
      <c r="R17" s="230"/>
      <c r="S17" s="230"/>
    </row>
    <row r="18" spans="1:19" ht="15" customHeight="1">
      <c r="A18" s="230"/>
      <c r="B18" s="230"/>
      <c r="C18" s="230"/>
      <c r="D18" s="230"/>
      <c r="E18" s="230"/>
      <c r="F18" s="230"/>
      <c r="G18" s="230"/>
      <c r="H18" s="230"/>
      <c r="I18" s="230"/>
      <c r="J18" s="230"/>
      <c r="K18" s="230"/>
      <c r="L18" s="230"/>
      <c r="M18" s="230"/>
      <c r="N18" s="230"/>
      <c r="O18" s="230"/>
      <c r="P18" s="230"/>
      <c r="Q18" s="230"/>
      <c r="R18" s="230"/>
      <c r="S18" s="230"/>
    </row>
    <row r="19" spans="1:19" ht="15" customHeight="1">
      <c r="A19" s="230"/>
      <c r="B19" s="230"/>
      <c r="C19" s="230"/>
      <c r="D19" s="230"/>
      <c r="E19" s="230"/>
      <c r="F19" s="230"/>
      <c r="G19" s="230"/>
      <c r="H19" s="230"/>
      <c r="I19" s="230"/>
      <c r="J19" s="230"/>
      <c r="K19" s="230"/>
      <c r="L19" s="230"/>
      <c r="M19" s="230"/>
      <c r="N19" s="230"/>
      <c r="O19" s="230"/>
      <c r="P19" s="230"/>
      <c r="Q19" s="230"/>
      <c r="R19" s="230"/>
      <c r="S19" s="230"/>
    </row>
    <row r="20" spans="1:19">
      <c r="A20" s="230"/>
      <c r="B20" s="230"/>
      <c r="C20" s="230"/>
      <c r="D20" s="230"/>
      <c r="E20" s="230"/>
      <c r="F20" s="230"/>
      <c r="G20" s="230"/>
    </row>
    <row r="21" spans="1:19">
      <c r="A21" s="230"/>
      <c r="B21" s="230"/>
      <c r="C21" s="230"/>
      <c r="D21" s="230"/>
      <c r="E21" s="230"/>
      <c r="F21" s="230"/>
      <c r="G21" s="230"/>
    </row>
    <row r="22" spans="1:19">
      <c r="A22" s="230"/>
      <c r="B22" s="230"/>
      <c r="C22" s="230"/>
      <c r="D22" s="230"/>
      <c r="E22" s="230"/>
      <c r="F22" s="230"/>
      <c r="G22" s="230"/>
    </row>
  </sheetData>
  <sheetProtection algorithmName="SHA-512" hashValue="J4POk1z8pYdy5c4NgnYuEfY+W5VENpeGmxbUbr2Jum+lfag9VzYWjxnf3PcJ+l70/zYC8UQLX3NbB2brVlpDdQ==" saltValue="q3QxKNRac+6M7tlwliScKg==" spinCount="100000" sheet="1" objects="1" scenarios="1"/>
  <mergeCells count="4">
    <mergeCell ref="A1:R3"/>
    <mergeCell ref="A4:R4"/>
    <mergeCell ref="A5:P5"/>
    <mergeCell ref="R5:T5"/>
  </mergeCells>
  <hyperlinks>
    <hyperlink ref="A5:O5" r:id="rId1" display="For any futher assistance on this tool, please post your question in the following forum Room - E2E Precision Data Converters Forum" xr:uid="{00000000-0004-0000-0400-000000000000}"/>
    <hyperlink ref="R5" location="'Table of Contents'!B17" display="Table of Contents" xr:uid="{00000000-0004-0000-0400-000001000000}"/>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Table of Contents</vt:lpstr>
      <vt:lpstr>Help</vt:lpstr>
      <vt:lpstr>Directions</vt:lpstr>
      <vt:lpstr>Voltage Sensing Calculator</vt:lpstr>
      <vt:lpstr>Device Comparison</vt:lpstr>
      <vt:lpstr>License</vt:lpstr>
      <vt:lpstr>Configs</vt:lpstr>
      <vt:lpstr>Device_List</vt:lpstr>
      <vt:lpstr>Device_List_D</vt:lpstr>
      <vt:lpstr>Device_List_SE</vt:lpstr>
      <vt:lpstr>inputType</vt:lpstr>
      <vt:lpstr>InputTypeColumn</vt:lpstr>
      <vt:lpstr>IntRdiv</vt:lpstr>
      <vt:lpstr>selectConfig</vt:lpstr>
      <vt:lpstr>single</vt:lpstr>
      <vt:lpstr>withoutR3</vt:lpstr>
      <vt:lpstr>withR3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2026-05-14T16:53:21Z</dcterms:modified>
</cp:coreProperties>
</file>